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virginmediauk.sharepoint.com/sites/CIOCIOFY2026/Shared Documents/General/02. Workstreams/10. Transition/1. Commercial Transition Workstream/04. Baselining/Project Estimation/Wall of Reference - Calibrated Projects/"/>
    </mc:Choice>
  </mc:AlternateContent>
  <xr:revisionPtr revIDLastSave="1504" documentId="11_A49BB6704C5D79EEA990E3A88A7ADA2653412A96" xr6:coauthVersionLast="47" xr6:coauthVersionMax="47" xr10:uidLastSave="{68D29DDB-A6DB-4160-86F9-EE1ECC6CE95A}"/>
  <bookViews>
    <workbookView xWindow="28680" yWindow="-120" windowWidth="29040" windowHeight="15720" tabRatio="404" xr2:uid="{00000000-000D-0000-FFFF-FFFF00000000}"/>
  </bookViews>
  <sheets>
    <sheet name="Wall of Reference - TechM" sheetId="1" r:id="rId1"/>
    <sheet name="Wall of Reference - TCS" sheetId="2" r:id="rId2"/>
  </sheets>
  <definedNames>
    <definedName name="_xlnm._FilterDatabase" localSheetId="1" hidden="1">'Wall of Reference - TCS'!$B$6:$N$33</definedName>
    <definedName name="_xlnm._FilterDatabase" localSheetId="0" hidden="1">'Wall of Reference - TechM'!$B$9:$N$9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8" i="2" l="1"/>
  <c r="I7" i="2"/>
  <c r="H8" i="2"/>
  <c r="I8" i="2" s="1"/>
  <c r="J16" i="1" l="1"/>
  <c r="H16" i="1"/>
  <c r="J13" i="1"/>
  <c r="I11" i="1"/>
  <c r="I13" i="1"/>
  <c r="I14" i="1"/>
  <c r="I16" i="1" s="1"/>
  <c r="K16" i="1" s="1"/>
  <c r="I15" i="1"/>
  <c r="I17" i="1"/>
  <c r="J12" i="1"/>
  <c r="H12" i="1"/>
  <c r="I12" i="1" s="1"/>
  <c r="K12" i="1" s="1"/>
  <c r="I10" i="1"/>
  <c r="H19" i="2"/>
  <c r="I19" i="2" s="1"/>
  <c r="H18" i="2"/>
  <c r="I18" i="2" s="1"/>
  <c r="H17" i="2"/>
  <c r="I17" i="2" s="1"/>
  <c r="H16" i="2"/>
  <c r="I16" i="2" s="1"/>
  <c r="H15" i="2"/>
  <c r="I15" i="2" s="1"/>
  <c r="H14" i="2"/>
  <c r="H13" i="2"/>
  <c r="I13" i="2" s="1"/>
  <c r="H12" i="2"/>
  <c r="H11" i="2"/>
  <c r="H10" i="2"/>
  <c r="I10" i="2" s="1"/>
  <c r="H9" i="2"/>
  <c r="I9" i="2" s="1"/>
  <c r="I11" i="2"/>
  <c r="I12" i="2"/>
  <c r="I14" i="2"/>
  <c r="I20" i="2"/>
  <c r="I21" i="2"/>
  <c r="I30" i="2" l="1"/>
  <c r="I31" i="2"/>
  <c r="I32" i="2"/>
  <c r="I33" i="2"/>
  <c r="I29" i="2"/>
  <c r="I23" i="2"/>
  <c r="I24" i="2"/>
  <c r="I25" i="2"/>
  <c r="I26" i="2"/>
  <c r="I27" i="2"/>
  <c r="I28" i="2"/>
  <c r="J27" i="2" l="1"/>
  <c r="J26" i="2"/>
  <c r="J25" i="2"/>
  <c r="J24" i="2"/>
  <c r="J23" i="2"/>
  <c r="J22" i="2"/>
  <c r="I22" i="2"/>
  <c r="K8" i="2" l="1"/>
  <c r="K9" i="2"/>
  <c r="K10" i="2"/>
  <c r="K11" i="2"/>
  <c r="K12" i="2"/>
  <c r="K13" i="2"/>
  <c r="K14" i="2"/>
  <c r="K15" i="2"/>
  <c r="K16" i="2"/>
  <c r="K17" i="2"/>
  <c r="K18" i="2"/>
  <c r="K19" i="2"/>
  <c r="K20" i="2"/>
  <c r="K21" i="2"/>
  <c r="K22" i="2"/>
  <c r="K23" i="2"/>
  <c r="K24" i="2"/>
  <c r="K25" i="2"/>
  <c r="K26" i="2"/>
  <c r="K28" i="2"/>
  <c r="K29" i="2"/>
  <c r="K30" i="2"/>
  <c r="K31" i="2"/>
  <c r="K32" i="2"/>
  <c r="K33" i="2"/>
  <c r="K7" i="2"/>
  <c r="K11" i="1"/>
  <c r="K13" i="1"/>
  <c r="K14" i="1"/>
  <c r="K15" i="1"/>
  <c r="K17" i="1"/>
  <c r="K10" i="1"/>
  <c r="K2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9" authorId="0" shapeId="0" xr:uid="{10CF22D2-A4B5-4646-B59F-5231334A5CAD}">
      <text>
        <r>
          <rPr>
            <b/>
            <sz val="9"/>
            <color indexed="81"/>
            <rFont val="Tahoma"/>
            <family val="2"/>
          </rPr>
          <t>Based on VMO2 costs:</t>
        </r>
        <r>
          <rPr>
            <sz val="9"/>
            <color indexed="81"/>
            <rFont val="Tahoma"/>
            <family val="2"/>
          </rPr>
          <t xml:space="preserve">
</t>
        </r>
        <r>
          <rPr>
            <b/>
            <sz val="9"/>
            <color indexed="81"/>
            <rFont val="Tahoma"/>
            <family val="2"/>
          </rPr>
          <t>•  Extra Large: &gt;£5m
• Large: £2m - £5m
• Medium: £0.5m - £2m
• Small: &lt;£0.5m)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6" authorId="0" shapeId="0" xr:uid="{51D06BBC-F196-4F93-A8DF-23FF9E65B5C9}">
      <text>
        <r>
          <rPr>
            <b/>
            <sz val="9"/>
            <color indexed="81"/>
            <rFont val="Tahoma"/>
            <family val="2"/>
          </rPr>
          <t>Based on VMO2 costs:</t>
        </r>
        <r>
          <rPr>
            <sz val="9"/>
            <color indexed="81"/>
            <rFont val="Tahoma"/>
            <family val="2"/>
          </rPr>
          <t xml:space="preserve">
</t>
        </r>
        <r>
          <rPr>
            <b/>
            <sz val="9"/>
            <color indexed="81"/>
            <rFont val="Tahoma"/>
            <family val="2"/>
          </rPr>
          <t>•  Extra Large: &gt;£5m
• Large: £2m - £5m
• Medium: £0.5m - £2m
• Small: &lt;£0.5m)</t>
        </r>
      </text>
    </comment>
  </commentList>
</comments>
</file>

<file path=xl/sharedStrings.xml><?xml version="1.0" encoding="utf-8"?>
<sst xmlns="http://schemas.openxmlformats.org/spreadsheetml/2006/main" count="344" uniqueCount="154">
  <si>
    <t xml:space="preserve">TechM Wall of Reference of Calibrated Projects </t>
  </si>
  <si>
    <t>TechM PUR</t>
  </si>
  <si>
    <t xml:space="preserve">Key : </t>
  </si>
  <si>
    <t xml:space="preserve">Lot </t>
  </si>
  <si>
    <t>Domain</t>
  </si>
  <si>
    <t>Project</t>
  </si>
  <si>
    <t>VMO2 SME(s)</t>
  </si>
  <si>
    <t>Size</t>
  </si>
  <si>
    <t>Scope Summary</t>
  </si>
  <si>
    <t>Partner Cost Estimate (£)</t>
  </si>
  <si>
    <t>VMO2 Actual Costs (£)</t>
  </si>
  <si>
    <t>Variance</t>
  </si>
  <si>
    <t xml:space="preserve">Assumptions / Exclusions/ Comments </t>
  </si>
  <si>
    <t>OSS</t>
  </si>
  <si>
    <t>Fixed GIS (IQGEO) / Data Connector</t>
  </si>
  <si>
    <t>Adam Simons
Gordon Hall</t>
  </si>
  <si>
    <t>Medium</t>
  </si>
  <si>
    <t>MBH CSG Config/ Mobile Backhaul CIN</t>
  </si>
  <si>
    <t>Kia Theodosiou
Leo Foreman</t>
  </si>
  <si>
    <t>Small</t>
  </si>
  <si>
    <t xml:space="preserve">This is an initiative covering the configuration and improvement of the mobile backhaul (MBH) cell site gateways (CSG). The requirement focuses on enabling automated provisioning and activation of MBH access services between cell site gateways and hub-site ECIN/CIN network elements using the existing automation stack. </t>
  </si>
  <si>
    <t>Istvan Toth</t>
  </si>
  <si>
    <t>API Gateway</t>
  </si>
  <si>
    <t>Adam Simons</t>
  </si>
  <si>
    <t>The objective of VMO2 is deploying a nationwide wholesale XGS-PON service for CPs and to implement a comprehensive symmetrical xPON fibre access to a target of 21 million UK premises. This wholesale service offers immediate access to a fully managed, high-performance broadband network without the cost and complexity of last-mile infrastructure build. The architecture incorporates the xPON access network, Ethernet aggregation, and high-capacity NNI interconnects, providing a robust, scalable, and future-ready wholesale service.</t>
  </si>
  <si>
    <t>Wholesale</t>
  </si>
  <si>
    <t>Wholesale – 
Strategic SLM</t>
  </si>
  <si>
    <t>Wholesale Service Assurance - Drop 1</t>
  </si>
  <si>
    <t>The Wholesale Service Management platform has been deployed to support the Wholesale services provided over the FTTP network. This project introduces a new service assurance platform, utilising BMC Helix, to support VMO2 Wholesale.
The core functions of the platform include managing incidents reported by Communication Providers (CPs) and delivering real-time updates to CPs regarding incidents, planned changes, and outages. The platform also provides visibility into planned maintenance activities and integrates with a diagnostic engine for fault analysis. Furthermore, it connects with Field Service Management for engineer appointments and tasks, and with VMO2 Remedy for managing network changes. Crucially, it integrates with the accounting platform to facilitate SLA calculations and penalty assessments, ensuring comprehensive support for wholesale services.
Drop 1 (Phase 1) of this project will establish the core Service Management capabilities for reactive incident management.
Drop 2 (Phase 2) of this project will focus on proactive incident management for both planned and unplanned network outages.</t>
  </si>
  <si>
    <t>Wholesale Service Assurance - Drop 2</t>
  </si>
  <si>
    <t xml:space="preserve">Shital Ghuge
Vaibhav Kaushik
</t>
  </si>
  <si>
    <t>Wholesale Apigee</t>
  </si>
  <si>
    <t>Wholesale  Reseller Management and Accounting Tranche 1</t>
  </si>
  <si>
    <t>Sangeeta Katoch
Vaibhav Kaushik</t>
  </si>
  <si>
    <t>VMO2 operates a broadband access network that supports over 5 million broadband customers. This number is expected to grow as VMO2 continues to invest in new network technology and expand the network's footprint. This investment will see parts of the Network “owned” by multiple Network owners (currently VMO2 and nexfibre).
Alongside this network growth, VMO2 is exploring options to monetize the access network, including implementing a wholesale model that allows Resellers (CP and VMO2 Retail) or Communications Providers (CP) to utilize the access network infrastructure to deliver services to their end customers.
To enable a wholesale model, VMO2 is introducing a new Access Network enablement platform to support the access network, including capabilities such as order management, provisioning, and service management.
As part of this project, a brand-new platform called ZIRA will be introduced in a wholesale stack that will be hosted on a GCP cloud and enable Reseller Management, Wholesale Audit, and Accounting capabilities.</t>
  </si>
  <si>
    <t xml:space="preserve">TCS Wall of Reference of Calibrated Projects </t>
  </si>
  <si>
    <t>TCS PUR</t>
  </si>
  <si>
    <t>Assumptions/ Exclusions/ Comments</t>
  </si>
  <si>
    <t>Data</t>
  </si>
  <si>
    <t>Data Management</t>
  </si>
  <si>
    <t>CCS Phase 2</t>
  </si>
  <si>
    <t>Julian Vercoe</t>
  </si>
  <si>
    <t>The objective of the CCS (Convergent Charging System) Phase 2 project is that the UK Government regulation mandates the decommission of the Huawei Online Charging System (OCS) platform from the Virgin Media O2 (VMO2) network. To achieve Phase 2 of CCS, the project will: 
• Augment the initial CCS charging platform implementation to provide one combined charging system for VMO2 supporting all mobile subscribers. 
• Migrate all PAYM subscribers currently on OCS onto the CCS platform by November 2026 to enable OCS decommissioning from December 2026. 
For the purposes of baselining, the TCS estimates only cover the activities from the period of 06 January 2026 to 31 March 2026 (Phase 2 of CCS). The scope of this work covers : 
1. Scope Item 1 : Requirement grooming and Data mapping document for CCS PH2 release 
2.  Scope Item 2: GCP Native Inbound Data Integration Delivery for CCS PH2 release 
3. Scope Item 3 : GCP Native Outbound Data Integration - ICD Documentation and Delivery for CCS PH2 release 
4. Scope Item 4 : System Integration Test (SIT)/End to End (E2E) Test Support for CCS PH2 release 
5. Scope Item 5 : Deployment and Early Life Data Support for CCS PH2 March release</t>
  </si>
  <si>
    <r>
      <t xml:space="preserve">Key Assumptions :
</t>
    </r>
    <r>
      <rPr>
        <sz val="11"/>
        <color theme="1"/>
        <rFont val="Calibri"/>
        <family val="2"/>
        <scheme val="minor"/>
      </rPr>
      <t xml:space="preserve">1. Scope Item 1 : Data Design efforts for drop1 + drop2 + drop3 work excluding KPI requirements. 
2. Scope Item 2 : Development efforts for data ingestion using stream and curation in CBL layers for drop1 + drop2 + drop3 
3. Scope Item 3 : Development efforts for modifying the outbound feeds for drop1 + drop2 + drop3 
4. Scope Item 4 : Test support for drop1 + drop2+ drop3.
ITTS test execution efforts are not included as it is part of separate template, we discussed. 
5. Scope Item 5 : Deployment and warranty support for drop1 + drop2 + drop3. </t>
    </r>
  </si>
  <si>
    <t>OFCOM Provider Net Act Equivalent for 360 Customers</t>
  </si>
  <si>
    <t xml:space="preserve">EDH will be creating a new feed OFCOM report where we will be using Netcracker 360 CDR data as source to populate values in this report. 
There will be total 15 attributes in this report, and it will be a monthly report.  </t>
  </si>
  <si>
    <r>
      <rPr>
        <i/>
        <sz val="11"/>
        <color theme="1"/>
        <rFont val="Calibri"/>
        <family val="2"/>
        <scheme val="minor"/>
      </rPr>
      <t xml:space="preserve">Key Exclusions: </t>
    </r>
    <r>
      <rPr>
        <sz val="11"/>
        <color theme="1"/>
        <rFont val="Calibri"/>
        <family val="2"/>
        <scheme val="minor"/>
      </rPr>
      <t xml:space="preserve">
1. Anything not explicitly stated in the IA
2. Upstream data quality is considered out of scope
3. Any outbound feed changes other than OFCOM are out of scope
4. Cost of MFT file transfer is out of scope 
</t>
    </r>
  </si>
  <si>
    <t>O2 Helix CMDB Integration</t>
  </si>
  <si>
    <t>The Qualys tool, specifically Strategic Qualys, is designed to automatically discover and categorize both known and unknown assets, including those within the internal network and those exposed to the internet. It continuously identifies unmanaged assets, offering real-time alerts on vulnerabilities, compromised devices, and network irregularities. Strategic Qualys has been chosen as the preferred tool for VMO2, replacing the previous "O2 Qualys" vulnerability solution, to provide ongoing, automated vulnerability detection across VMO2's hybrid infrastructure. This will encompass both VM and O2 assets, all managed within the same platform.
The goal of this integration is to connect the Strategic Configuration Management Database (CMDB) with Qualys, enabling a two-way data exchange for Configuration Items (CIs). This ensures that the data within Qualys remains accurate and aligned with the business inventory. By enhancing host data in Qualys, this integration will improve vulnerability management and enable a more effective response to security events that impact specific applications and hardware.</t>
  </si>
  <si>
    <r>
      <rPr>
        <i/>
        <sz val="11"/>
        <color theme="1"/>
        <rFont val="Calibri"/>
        <family val="2"/>
        <scheme val="minor"/>
      </rPr>
      <t>Key Exclusions:</t>
    </r>
    <r>
      <rPr>
        <sz val="11"/>
        <color theme="1"/>
        <rFont val="Calibri"/>
        <family val="2"/>
        <scheme val="minor"/>
      </rPr>
      <t xml:space="preserve">
1. Data Quality (DQ) issue is out of scope.
2. Only the O2 tagged Assets will be in scope for this delivery.
3. Anything not explicitly stated in the IA.
</t>
    </r>
  </si>
  <si>
    <t>EDH FDP Data Quality Framework</t>
  </si>
  <si>
    <t>The goal is to build a Data Quality batch execution pipeline for FDP using google native technologies.</t>
  </si>
  <si>
    <r>
      <rPr>
        <i/>
        <sz val="11"/>
        <color theme="1"/>
        <rFont val="Calibri"/>
        <family val="2"/>
        <scheme val="minor"/>
      </rPr>
      <t>Key Exclusions:</t>
    </r>
    <r>
      <rPr>
        <sz val="11"/>
        <color theme="1"/>
        <rFont val="Calibri"/>
        <family val="2"/>
        <scheme val="minor"/>
      </rPr>
      <t xml:space="preserve">
1. No ‘Data Profiling’ related requirement is part of this scope. The scope is limited to automated ‘Data Quality query’ execution and reporting. Any data profiling scope needs to be designed separately (outside the current delivery scope) if a requirement arrives.
2. This delivery will not implement an integration with Atacama.
3. This delivery will migrate only the live FDP DQ queries which are running in Hive currently. The analysis and implementation of new DQ scenarios are out of scope of this delivery. Any new DQ scenario can be implemented by the FDP DQ team once the frameworks are live.
4. Fixing any existing FDP DQ issue or tuning any existing DQ query are not part of this scope. This delivery will implement the as-is DQ queries onto the new framework.
5. Only FDP DQ scenarios will be implemented as part of this scope. Other data products are not included in this delivery, though the frameworks can be used by other data products once the frameworks are live. But that may need GCP project setup, user access setup etc for the new data products, those will be done outside this delivery. Any new framework development as part of Data plex or any other tool is out of scope.
6. Onboarding wider VMO2 team to these new frameworks is not part of the scope. FDP business team, AD &amp; AO teams will be onboarded during this. Any new onboarding can be done by the BAU admin teams.
7. No specific SLA has been agreed for the DQ queries to deliver the alert.
</t>
    </r>
  </si>
  <si>
    <t>ACE Landing PAD migration</t>
  </si>
  <si>
    <t>Large</t>
  </si>
  <si>
    <t>Automated Commissions Engine (ACE) is a comprehensive system designed to handle the complete lifecycle of commission processing for the external partners; from transactional and reference data ingestion, data processing, commissions configuration and calculations, report generation and publishing for partners to access and partner query management. ACE is currently hosted in SAP cloud. It includes two servers:
1. ACE Landing Pad - VMO2 data preprocessing application layer, built in a unix
server in SAP cloud on Oracle and Informatica Powercenter
2. SAP Commission engine, which is an SAP product for commissions configuration 
and calculation. 
The purpose of this IA is to perform the GCP environment (platform, infrastructure, connectivity) set up, low-level design of the platform migration and low-level design of the data migration for this work.</t>
  </si>
  <si>
    <r>
      <rPr>
        <i/>
        <sz val="11"/>
        <color theme="1"/>
        <rFont val="Calibri"/>
        <family val="2"/>
        <scheme val="minor"/>
      </rPr>
      <t>Key Assumptions:</t>
    </r>
    <r>
      <rPr>
        <sz val="11"/>
        <color theme="1"/>
        <rFont val="Calibri"/>
        <family val="2"/>
        <scheme val="minor"/>
      </rPr>
      <t xml:space="preserve">
1. File based interface between Landing Pad in GCP and SAP Commissions application in SAP Cloud is possible and reliable, during the batch processing, to
transfer the data both ways.
2. SAP team, Commissions team and all relevant stakeholders are available for support during the period called out in the plan above.
3. Process Inventory of as-is Landing pad and Discovery zones to be provided by Commissions team and they are comprehensive and includes in-scope
deliverables only.
4. Changes to the reporting solution (Work Package 2 scope) will be impact assessed separately.
5. File-based transfer solution will be setup between SAP and GCP for required data transfer to replace DB Link.
6. Direct Connectivity feeds will be transferred via MFT.
7. All shell script jobs will be converted to Common Ingestion Framework (CIF) processes including all relevant existing functionality.
8. All informatica code will be converted to DBT/BigQuery SQL to maintain all relevant existing functionality.
9. DBT container is a standardized and reusable component that can handle any SQL and DBT code conversion and testing tasks.
10. Pull request follows the best practices and standards for SQL and DBT code development and documentation.</t>
    </r>
  </si>
  <si>
    <t>NCC Phase 4 Del</t>
  </si>
  <si>
    <t>This engagement is for the NCC Phase 4 Delivery :
1) Geo-Place Development.
2) Pre-enablement and other BRE template changes.
3) ICOMS realtime Dev support.
4) CR34 changes.
5) Real-Time into GCP BQ.
6) Real-Time into CSQL.
7) POC on dynamic BRE change.</t>
  </si>
  <si>
    <t>Req for Data IA Helix Datalake</t>
  </si>
  <si>
    <t xml:space="preserve"> The requirement is to bring the data from Helix to GCP via STRIIM incremental batch reader in a near Realtime batch process.</t>
  </si>
  <si>
    <t>Phase 2 CPE Inventory Project</t>
  </si>
  <si>
    <t>Phase 1 has delivered the strategic platform for managing serially tracked CPE devices utilizing GCP platform. The goal of Phase 2 is to deliver :
1. One time migration of SIFTER data to CIMS
2. Creation of new feed for ILM and IMF feed from CIMS to ICOMS
3. ATU file to CIMS
4. CIMS data avilability into BQ for reporting</t>
  </si>
  <si>
    <t>Losing Provider Logic</t>
  </si>
  <si>
    <t>The GPLB Switching process will allow business customers to follow an industry-agreed GPLS process for the following Services:
• Fixed Line Number
• Broadband
Customers will provide the current Service Provider details at the point of sale and provide consent for services to be switched. The LP will confirm the impacts of switching directly to the Customer. The GP will process the switch request and any related number porting on behalf of Customers. This will enable customers to have quick, easy, and reliable switching.
This engagement is to provide data solution for the matching of customer data, services and provide necessary responses. This engagement is specific for SoHo and SoHo_A&amp;P customer.</t>
  </si>
  <si>
    <r>
      <rPr>
        <i/>
        <sz val="11"/>
        <color theme="1"/>
        <rFont val="Calibri"/>
        <family val="2"/>
        <scheme val="minor"/>
      </rPr>
      <t>Key Exclusions:</t>
    </r>
    <r>
      <rPr>
        <sz val="11"/>
        <color theme="1"/>
        <rFont val="Calibri"/>
        <family val="2"/>
        <scheme val="minor"/>
      </rPr>
      <t xml:space="preserve">
1. Handling remedy of any source data quality issues in source is out of scope of the engagement.
2. Creation of any monitoring dashboard for API performance is out of scope.</t>
    </r>
  </si>
  <si>
    <t>Bulk Diagnostic API</t>
  </si>
  <si>
    <t>As part of wholesale programme, the goal is to enhance the existing L2 Single diagnostic engine to scope drop 2 business requirements and build new interfaces to support L2 bulk diagnostic engine.</t>
  </si>
  <si>
    <r>
      <rPr>
        <i/>
        <sz val="11"/>
        <color theme="1"/>
        <rFont val="Calibri"/>
        <family val="2"/>
        <scheme val="minor"/>
      </rPr>
      <t>Key Exclusions:</t>
    </r>
    <r>
      <rPr>
        <sz val="11"/>
        <color theme="1"/>
        <rFont val="Calibri"/>
        <family val="2"/>
        <scheme val="minor"/>
      </rPr>
      <t xml:space="preserve">
1. L2 Single Diagnostic - Implementing a strategic solution on addition of a rule for singular values of reporting status.
2. NGINX WAF to WS WAF , NOKIA GUI API to N-A-F, Outage code.
3. L2 Single Diagnostic - Calling Get Service Detail (API) to get serial numbers for deriving RG status.
4. Integration with KAFKA topic for ingesting network metric data in realtime from Altiplano (via KAFKA) into GCP.
5. L2 Bulk Diagnostic: CP ID validation, Child service Ids validation.
6. L2 Bulk Diagnostic: Preparing logical and physical specification for calling APIs to push the final RAG status data into Helix via SLM Apigee middleware.</t>
    </r>
  </si>
  <si>
    <t>Picasso</t>
  </si>
  <si>
    <t>Project Picasso is intended to deliver a refreshed set of fixed front book bundles in September 2025, the new front book should deliver improvements in choice and flexibility for customers whilst addressing some known challenges that we have today. The front book should be streamlining the range where possible, removing products that have low appeal and sales, addressing any illogical up-sell or cross-sell price steps and resolving the high ongoing bundle pricing that causes bill shock when offers end. There is a desire to include third-party SVOD content (primarily Netflix) with bundles if supported by a suitable commercial agreement, there is also a desire to sell value accretive add-ons (Bundles of content add on) to grow ARPU in the purchase journey. This will all be supported by a reimagining of the current Digital sales experience, to give the impression of modularity, flexibility and greater customer choice.
Based on the Picasso requirement for Anaplan reporting, we need to include a new field in the fact tables to derive the SKY UHD movements in the fact Coc tables, along with the corresponding start and end values in the fact_wfr tables.</t>
  </si>
  <si>
    <r>
      <rPr>
        <i/>
        <sz val="11"/>
        <color theme="1"/>
        <rFont val="Calibri"/>
        <family val="2"/>
        <scheme val="minor"/>
      </rPr>
      <t>Key Exclusions :</t>
    </r>
    <r>
      <rPr>
        <sz val="11"/>
        <color theme="1"/>
        <rFont val="Calibri"/>
        <family val="2"/>
        <scheme val="minor"/>
      </rPr>
      <t xml:space="preserve">
1. Any correction of source data and any existing BAU issues.</t>
    </r>
  </si>
  <si>
    <t>Augustus Bill Ops</t>
  </si>
  <si>
    <t>The purpose is to deliver the following : 
1. Create a new table in CDH project to load the comparison report - ICOMS_SERVICE_REQUIREMENT_COMPARISON with 2 years retention.
2. Create 2 new views (one for latest records based on load_Date and one with history data) for users ICOMS_SERVICE_REQUIREMENT_COMPARISON_V1 ICOMS_SERVICE_REQUIREMENT_COMPARISON_LATEST
3. Create a new Abinitio ETL to load the comparison data on daily basis as append in to the table.
4. Complete Unit Testing and deployment.
5. Provide Warranty Support.</t>
  </si>
  <si>
    <r>
      <rPr>
        <i/>
        <sz val="11"/>
        <color theme="1"/>
        <rFont val="Calibri"/>
        <family val="2"/>
        <scheme val="minor"/>
      </rPr>
      <t>Key Exclusions :</t>
    </r>
    <r>
      <rPr>
        <sz val="11"/>
        <color theme="1"/>
        <rFont val="Calibri"/>
        <family val="2"/>
        <scheme val="minor"/>
      </rPr>
      <t xml:space="preserve">
1. Any source data issues.</t>
    </r>
  </si>
  <si>
    <t>Apollo as an AO FRAUD reporting</t>
  </si>
  <si>
    <t>A data requirement to generate daily a fraud report for VM Fraud Manager which should include all the previous day orders where new customer has ordered 3 or more STBs and customer status is 'untraced' i.e., customer having credit score as 8, 9 ,10 Or credit band E,F,G to identify potential 'Fraud Orders'.</t>
  </si>
  <si>
    <t>EDH &gt; GCP</t>
  </si>
  <si>
    <t xml:space="preserve">VMO2’s Enterprise Data Hub (EDH) is a centralised, unified data platform which provides business critical data across VMO2’s organisation. Originally EDH was built as an on-premise solution hosted on Cloudera Data Platform but has recently been migrated onto Cloudera Data Platform (CDP) hosted on Google Cloud Platform (GCP) in a ‘lift and shift’ migration onto virtual machines. This migration has allowed VMO2 to move to the Cloud quickly and decouple from licensing and hardware constraints present with the previous on-premise solution. However, this has come at the cost of an architecture which involves higher operational costs than if EDH was built on GCP native technology.
Therefore, VMO2 has decided to migrate EDH on CDP GCP to GCP cloud native to fully realise the cost benefits of a cloud native solution and to align the EDH’s end state infrastructure with VMO2’s strategic technology vision for 2024 and beyond. 
</t>
  </si>
  <si>
    <t>Netpulse &gt; GCP</t>
  </si>
  <si>
    <t xml:space="preserve">The Netpulse is a Cloudera Hadoop based Bigdata and analytics platform which enables the business to collect, store and analyze a vast amount of complex data from varied sources of mobile network elements that are internal and external to VMO2. The platform helps the business gain critical insights into the overall customer experience, usage patterns and quality of services provided by the business to its customer base.
Netpulse is a large on-premises Hadoop based platform running business critical data warehouse and analytics capabilities in the former O2 network domain. The insights provided by the platform are increasingly playing a critical role in strategic decision-making across the organization; therefore, any occurrence of service disruption have the potential to impact the quality and delivery timelines of critical business operations and projects.
As it stands, the platform stores up to 6 Petabytes of data in Hadoop cluster, available for analytics using Hive, Spark, Python, and native Hadoop libraries. The platform ingests more than 10 Terabytes of source data feeds on daily basis and processes billions of transactions from Network, CRM, and other external sources per day. 
The Netpulse Hadoop cluster provides cumulative compute capacity of 6480 CPU Cores and 45 TB Memory space in production environment and 684 CPU Cores and 4.9 TB Memory space in Testbed environment.
Netpulse ingestion layer is built using three different solutions, 
1. Cardinality solution distributed across 80+ physical servers in production and 20+ physical servers in testbed. 
2. HDF platform (NiFi) with 896 CPU cores in production and 264 CPU cores in Testbed.
3. Unix script-based ingestion.
Due to increasingly wider adaption of the platform for varying use cases across the business, its footprint and complexity has significantly grown over time, making the task of maintaining the resilience and operational standards incredibly challenging without causing disruption or degradation to its core services.
While Netpulse platform provides the capability to monitor many metrics, it is not a simple monitoring tool. By integrating many disparate data sources &amp; applying complex analytics, it delivers predictive capabilities and tools replacing outdated methods of collecting and analyzing data (e.g., the VDT can replace traditional drive testing). Netpulse is the only tool across VMO2 that pulls data from enough sources to create a true picture of performance at both a network and, importantly, at a customer (MSISDN) level. Through Netpulse analytics, the radio team can identify cells of concern and focus efforts in those areas to provide quick wins and noticeable improvements in network quality for VMO2 customers. In short, Netpulse generates predictive models (e.g., NCX predictor) to drive customer satisfaction through targeted network improvements and enhanced customer service.
Therefore, Netpulse is a key platform for VMO2 data analytics strategy to refine and enhance VMO2 products including predictive analytics. Netpulse will play a key role in improving VMO2 customers satisfaction journey. Hence, we intend to migrate Netpulse into GCP to increase flexibility &amp; scalability, achieve simplified management &amp; monitoring, adapt innovative technologies, elastic approach and optimize costs. </t>
  </si>
  <si>
    <r>
      <rPr>
        <i/>
        <sz val="11"/>
        <color theme="1"/>
        <rFont val="Calibri"/>
        <family val="2"/>
        <scheme val="minor"/>
      </rPr>
      <t>Key Exclusions :</t>
    </r>
    <r>
      <rPr>
        <sz val="11"/>
        <color theme="1"/>
        <rFont val="Calibri"/>
        <family val="2"/>
        <scheme val="minor"/>
      </rPr>
      <t xml:space="preserve">
1. Migration of current Hadoop platform maintenance scripts
2. Establishing connectivity between Former-O2 On-premises and GCP (Managed by another program).
3. Cloud Infrastructure and maintenance/support cost.
4. Migration of non-scheduled end user ad-hoc queries/jobs.
5. Re-engineering of Analytical models.
6. Service Assurance migration to GCP (Including H-base).
7. Migration of NCX, TMA Reports and iOS.
8. Tableau conversion to Looker / any other BI platforms.
9. Operational maintenance of the AS-IS jobs in the existing platforms.
10. L1 &amp; L2 support for Applications on-premise during Implementation phase.
11. Any functional changes which are not part of the current platform. Any functional changes will go through Change management process.
12. Fixing any functional or technical debts in current platform.
13. Migration of new ETL applications &amp; related data in Netpulse that are in inception / design / development.
14. Detailed SIT Testing by external team (ITTS or other testing teams) – Implementation of any changes for other internal and external systems which are impacted by this migration. TCS will liaise with the impacted areas and inform them about the changes.</t>
    </r>
  </si>
  <si>
    <t>Consumer</t>
  </si>
  <si>
    <t>Consumer DFE</t>
  </si>
  <si>
    <t>My O2 Mobile App Rebuild</t>
  </si>
  <si>
    <t>Jack Roscoe</t>
  </si>
  <si>
    <t>Release of MyO2 app built on App Factory. App Factory is a single app code base. The aim of App Factory was to resolve this with core code shared across the apps, reducing the need to duplicate integration with Identity, Communications, Orchestration, Analytics, Chat, and other key SDKs.
MyO2 app is currently built on Novum. We want to rebuild the app as React Native (App Factory) and bring the development in-house.
To rebuild the MyO2 app using App Factory, leveraging an advanced tech stack aligned with VMO2's end-state architecture. This approach enables seamless integration of new features and enhancements powered by Engine, ensuring a future-ready, robust, and scalable app experience for our customers.</t>
  </si>
  <si>
    <t>RetainX</t>
  </si>
  <si>
    <t>The RetainX project is a Next.js web application developed by ILOR to calculate or configure O2 mobile deals (likely SIM-only, device, or bundle offers).
The purpose is to create a frontend app for deal configuration or calculation, tightly integrated with internal VMO2 libraries (@virginmediao2/*) and powered by a headless CMS (Storyblok) for dynamic content.</t>
  </si>
  <si>
    <t>PayG Transformation</t>
  </si>
  <si>
    <t>This project focuses on the development of a new Pay As You Go (PayG) Transformation Web Application, built using NextJS. The application will encompass a comprehensive suite of customer journeys, including Home Page, Top-up, Payment Method management, SIM ordering and replacement, Bolt Ons, managing personal details, registration and sign-in, joining and leaving O2, tariff management, unblocking/unlocking services, document access, and contact preferences.
The project involves the creation of 35-40 dynamic web pages, implementation of 100 analytics tags, and integration with numerous third-party systems such as Experian &amp; GCP, Autopopup Portal, Rolling Plan Portal, O2 Rewards, Blackhawk, CCS, MiPay, CPS, Real Digital, and O2 Identity. Technical components include Google Analytics and Braze SDKs, 47 API developments and orchestrations, Dynatrace for monitoring and alerting, and CDO APIgee and Microservices for DFE PAYG. The scope covers end-to-end delivery from requirement gathering through to warranty support, including comprehensive functional, performance, security, and API testing, alongside test data creation.</t>
  </si>
  <si>
    <t>PayG Communication</t>
  </si>
  <si>
    <t>This project is dedicated to transforming Pay As You Go (PayG) customer communications. It involves the creation and management of 108 personalised communication templates across 43 canvases, delivered via Email, SMS, and Print channels. A key focus is on dynamic personalisation using existing data attributes and the creation of two new real-time audiences. The scope includes implementing 108 event-driven or scheduled communications, a bidirectional communication flow for Balance Enquiry, and comprehensive end-to-end delivery, testing, and post-go-live monitoring.</t>
  </si>
  <si>
    <t>BSS Service Comms</t>
  </si>
  <si>
    <t>This project focuses on the implementation and management of Business Support System (BSS) service communications.
The project covers end-to-end delivery from requirement gathering to warranty support, including comprehensive functional, performance, security, and API testing. Post-go-live, there will be delivery and engagement monitoring, with feedback sent back to Netcracker and SOA for necessary changes. Basic analytics for delivery, open, and click-through rates will also be implemented.</t>
  </si>
  <si>
    <t xml:space="preserve">O2.co.uk Transformation </t>
  </si>
  <si>
    <t>Extra Large</t>
  </si>
  <si>
    <t>The O2 Transformation project involves a migration from the legacy Netcracker 360 platform to a new technology stack utilising NextJS for static content and Angular. The project implements ElasticSearch for the upper funnel catalogue, which is populated by stock and pricing data from Netcracker (BSS) via daily CSV files. An MSA service is responsible for merging and processing this data, which is then consumed by the front end to display consolidated stock and pricing information.
Netcracker’s catalogue is out of scope. The digital sales catalogue will ensure products from Netcracker are integrated, with the upper funnel, basket logic, and checkout experience built as part of the transformation Order processing continues to be managed by Netcracker, including subsequent communications, handling, and fulfilment via the PAU process. The current MSA does not queue orders after they are sent from the order entry.​ There are no queues, such as dead letter or message queues, for orders.​
Performance and accessibility testing is in scope and must meet AAA standards. Internal APIs retrieve data from systems like Netcracker, while external APIs are exposed to the front end to drive functionality.</t>
  </si>
  <si>
    <t>O2 Marketing Transformation</t>
  </si>
  <si>
    <t>This project aims to transform O2's marketing capabilities by implementing and leveraging a new platform, primarily Braze, for 11-50 users (Campaign Managers, Merkle, Platform Engineering). The scope includes designing and building 17 event-based and data-triggered customer journeys across four channels (SMS, Email, MMS, Web Content Card). It involves significant data work, including 51-100 Data Landing Tables, creation of 20+ new audiences and integrating one Recommendation Engine with Braze. The project also covers front-end and API client-side SDK integration, handling three internal inbound events, creating 21-100 communication templates, and comprehensive testing for language, locale, analytics, and tagging.</t>
  </si>
  <si>
    <t xml:space="preserve">APIGee onboarding API </t>
  </si>
  <si>
    <t>Paul Carville</t>
  </si>
  <si>
    <t>Onboard a new API for data diagnostics for consumption within the FE plus exposing Data Diagnostics from DATA within VPC (ingress, internal load balancer)  to MSA internally</t>
  </si>
  <si>
    <t>Migration of 10 content pages</t>
  </si>
  <si>
    <t xml:space="preserve">As part of the CQ5 migration, VMO2 need to migrate legacy pages into the new stack. This did not include the rebuild of the pages, just the like for like movement. </t>
  </si>
  <si>
    <r>
      <rPr>
        <i/>
        <sz val="11"/>
        <color theme="1"/>
        <rFont val="Calibri"/>
        <family val="2"/>
        <scheme val="minor"/>
      </rPr>
      <t xml:space="preserve">Key Assumptions :  </t>
    </r>
    <r>
      <rPr>
        <sz val="11"/>
        <color theme="1"/>
        <rFont val="Calibri"/>
        <family val="2"/>
        <scheme val="minor"/>
      </rPr>
      <t xml:space="preserve">
1. Number of templates assumed for 10 content pages: 1
2. All digital assets (images and videos)  will be made available to the team; no efforts have been considered for the same
3. Digital assets will be stored in the current existing solution in place,
4. No efforts have been considered for the UX designs</t>
    </r>
  </si>
  <si>
    <t>Affirm Onboarding</t>
  </si>
  <si>
    <t>Affirm as part of the brokered finance</t>
  </si>
  <si>
    <t>Migration from a legacy page within 360 to DFE web page for top up</t>
  </si>
  <si>
    <t>Page already exists, change the redirets for the  destination; updating proxy, perform QA and auto test and release</t>
  </si>
  <si>
    <t>Recycle Arnold</t>
  </si>
  <si>
    <t>Onboard a new API exposed for recycle (Project Arnold)</t>
  </si>
  <si>
    <r>
      <rPr>
        <i/>
        <sz val="11"/>
        <color theme="1"/>
        <rFont val="Calibri"/>
        <family val="2"/>
        <scheme val="minor"/>
      </rPr>
      <t>Key Assumptions:</t>
    </r>
    <r>
      <rPr>
        <sz val="11"/>
        <color theme="1"/>
        <rFont val="Calibri"/>
        <family val="2"/>
        <scheme val="minor"/>
      </rPr>
      <t xml:space="preserve">
1. GCP development platform, Datadog, Dynatrace tools will be procured and provided by VMO2​
2. Browser stack or similar tools is already in place for mobile app testing​
3. Mobile devices will be made available to the development team for unit testing​
4. 80% of  the existing WebView components will be reused, while the remaining 20% require new development 
</t>
    </r>
    <r>
      <rPr>
        <i/>
        <sz val="11"/>
        <color theme="1"/>
        <rFont val="Calibri"/>
        <family val="2"/>
        <scheme val="minor"/>
      </rPr>
      <t>Key Exclusions:</t>
    </r>
    <r>
      <rPr>
        <sz val="11"/>
        <color theme="1"/>
        <rFont val="Calibri"/>
        <family val="2"/>
        <scheme val="minor"/>
      </rPr>
      <t xml:space="preserve">
1. Omningage efforts are not included in the current estimates​
2. Any changes required to be done on WebViews​
3. Mobile app for tablets / iPads​
4. Mobile app will not store any data on device to work in offline mode
</t>
    </r>
    <r>
      <rPr>
        <i/>
        <sz val="11"/>
        <color theme="1"/>
        <rFont val="Calibri"/>
        <family val="2"/>
        <scheme val="minor"/>
      </rPr>
      <t xml:space="preserve">Note : 
</t>
    </r>
    <r>
      <rPr>
        <sz val="11"/>
        <color theme="1"/>
        <rFont val="Calibri"/>
        <family val="2"/>
        <scheme val="minor"/>
      </rPr>
      <t>1. £300,000 deducted from VMO2 actuals for Netcracker costs
2. 14% deducted to account for VMO2 staff transferred to TCS</t>
    </r>
  </si>
  <si>
    <r>
      <rPr>
        <i/>
        <sz val="11"/>
        <color theme="1"/>
        <rFont val="Calibri"/>
        <family val="2"/>
        <scheme val="minor"/>
      </rPr>
      <t xml:space="preserve">Key Assumptions : </t>
    </r>
    <r>
      <rPr>
        <sz val="11"/>
        <color theme="1"/>
        <rFont val="Calibri"/>
        <family val="2"/>
        <scheme val="minor"/>
      </rPr>
      <t xml:space="preserve">
1. Considered three environments: Dev, QA, Staging and Prod​
2. Web App will be deployed in GCP Environment​
3. Required servers on GCP will be made available to the development team for deployment​
4. GCP development platform, Datadog,  Dynatrace tools will be procured and provided by VMO2​
5. Integration with Google analytics and recommendation engine for offers and discounts ​
6. 18 new API creation required and remaining APIs only
orchestration required.​
7. CI/CD pipeline is already in place. No additional efforts considered
for setting up the pipeline​
8. Sales Catalogue data would be retrieved from Digital Sales Catalogue (external application)​
9. Access to applications like Jira / Confluence / GitHub already in place​
10. Testing tools like Brower stack, JMeter will be provided to dev team
</t>
    </r>
    <r>
      <rPr>
        <i/>
        <sz val="11"/>
        <color theme="1"/>
        <rFont val="Calibri"/>
        <family val="2"/>
        <scheme val="minor"/>
      </rPr>
      <t>Key Exclusions :</t>
    </r>
    <r>
      <rPr>
        <sz val="11"/>
        <color theme="1"/>
        <rFont val="Calibri"/>
        <family val="2"/>
        <scheme val="minor"/>
      </rPr>
      <t xml:space="preserve">
1. Check out and Payment Gateway Integration​
2. Data Products out of scope 
</t>
    </r>
    <r>
      <rPr>
        <i/>
        <sz val="11"/>
        <color theme="1"/>
        <rFont val="Calibri"/>
        <family val="2"/>
        <scheme val="minor"/>
      </rPr>
      <t xml:space="preserve">Note : 
</t>
    </r>
    <r>
      <rPr>
        <sz val="11"/>
        <color theme="1"/>
        <rFont val="Calibri"/>
        <family val="2"/>
        <scheme val="minor"/>
      </rPr>
      <t>1. £180,000 deducted from VMO2 actuals for Netcracker costs
2. 14% deducted to account for VMO2 staff transferred to TCS</t>
    </r>
  </si>
  <si>
    <r>
      <rPr>
        <i/>
        <sz val="11"/>
        <color theme="1"/>
        <rFont val="Calibri"/>
        <family val="2"/>
        <scheme val="minor"/>
      </rPr>
      <t xml:space="preserve">Key Assumptions : </t>
    </r>
    <r>
      <rPr>
        <sz val="11"/>
        <color theme="1"/>
        <rFont val="Calibri"/>
        <family val="2"/>
        <scheme val="minor"/>
      </rPr>
      <t xml:space="preserve">
1. Considered three environments: Dev, QA and Prod​
2. Web App will be deployed in GCP Environment​
3. Required servers on GCP will be made available to the development team for deployment​
4. GCP development platform, Dynatrace tools will be procured and provided by VMO2​ integration with Google analytics and Braze for offers and discounts ​
5. Testing tools like Brower stack, JMeter will be provided to dev team​
6. Access to applications like Jira / Confluence / GitHub already in place
</t>
    </r>
    <r>
      <rPr>
        <i/>
        <sz val="11"/>
        <color theme="1"/>
        <rFont val="Calibri"/>
        <family val="2"/>
        <scheme val="minor"/>
      </rPr>
      <t xml:space="preserve">Key Exclusions : </t>
    </r>
    <r>
      <rPr>
        <sz val="11"/>
        <color theme="1"/>
        <rFont val="Calibri"/>
        <family val="2"/>
        <scheme val="minor"/>
      </rPr>
      <t xml:space="preserve">
1. NC and Omningage efforts​
Note : 
1. 14% deducted to account for VMO2 staff transferred to TCS</t>
    </r>
  </si>
  <si>
    <r>
      <rPr>
        <i/>
        <sz val="11"/>
        <color theme="1"/>
        <rFont val="Calibri"/>
        <family val="2"/>
        <scheme val="minor"/>
      </rPr>
      <t xml:space="preserve">Key Assumptions : </t>
    </r>
    <r>
      <rPr>
        <sz val="11"/>
        <color theme="1"/>
        <rFont val="Calibri"/>
        <family val="2"/>
        <scheme val="minor"/>
      </rPr>
      <t xml:space="preserve">
1. Complexity assumed : 20% - Simple, 80% Medium  functionality.​
2. Trigger-based communications only; no multi-step Canvas journeys (Canvas = 0)​
3. Channels: Email, SMS, Print/Alternate format only; no additional channels considered​
4. Templates &amp; Comms: 108 Email/SMS templates mapped to 108 triggered sends​
5. Audiences: 4 trigger-based systems (CCS, NC, DFE, Rolling Plan / GDPR)​
6. Real Time triggers: 2 real-time Triggers PPay G audiences ; 1 core segment for targeting.​
7. Bidirectional comms: 1 flow implemented using standard Braze capabilities​
8. Data: Existing user attributes and events are sufficient; no data model redesign required​
9. Personalization: Templates will be personalized using available attributes and dynamic data feeds​
10. Consent &amp; Suppression: Standard GDPR-compliant consent and suppression logic applied per channel​
11. Testing &amp; QA: All triggers, templates, and communications will be tested for delivery, personalization, and reporting​
12. Reporting &amp; Analytics: Basic delivery and engagement reporting implemented; no advanced analytics or AI/ML​
13. Operational Readiness: Go-live support, monitoring, and knowledge transfer included​
14. Dependencies: Business approvals and sign-offs are available in a timely manner​
</t>
    </r>
    <r>
      <rPr>
        <i/>
        <sz val="11"/>
        <color theme="1"/>
        <rFont val="Calibri"/>
        <family val="2"/>
        <scheme val="minor"/>
      </rPr>
      <t xml:space="preserve">Key Exclusions : </t>
    </r>
    <r>
      <rPr>
        <sz val="11"/>
        <color theme="1"/>
        <rFont val="Calibri"/>
        <family val="2"/>
        <scheme val="minor"/>
      </rPr>
      <t xml:space="preserve">
1. NC development efforts ​
2. Suppression logic  ​
</t>
    </r>
    <r>
      <rPr>
        <i/>
        <sz val="11"/>
        <color theme="1"/>
        <rFont val="Calibri"/>
        <family val="2"/>
        <scheme val="minor"/>
      </rPr>
      <t>Note :</t>
    </r>
    <r>
      <rPr>
        <sz val="11"/>
        <color theme="1"/>
        <rFont val="Calibri"/>
        <family val="2"/>
        <scheme val="minor"/>
      </rPr>
      <t xml:space="preserve"> 
1. £180,000 deducted from VMO2 actuals for Netcracker costs
2. 14% deducted to account for VMO2 staff transferred to TCS</t>
    </r>
  </si>
  <si>
    <r>
      <rPr>
        <i/>
        <sz val="11"/>
        <color theme="1"/>
        <rFont val="Calibri"/>
        <family val="2"/>
        <scheme val="minor"/>
      </rPr>
      <t xml:space="preserve">Key Assumptions : </t>
    </r>
    <r>
      <rPr>
        <sz val="11"/>
        <color theme="1"/>
        <rFont val="Calibri"/>
        <family val="2"/>
        <scheme val="minor"/>
      </rPr>
      <t xml:space="preserve">
1. Complexity assumed : 100% - Simple functionality. Braze campaign template ​
2. Complexity assumed : Solution functionality complex 100 %​
3. Trigger-based communications only; no multi-step Canvas journeys (Canvas = 0)​
4. Channels: Email &amp; SMS ; no additional channels considered​
5. Templates &amp; Comms: 279 Email/SMS templates mapped to 279 triggered sends​
6. Audiences: 1 trigger-based systems (NC)​
7. Data: Existing user attributes and events are sufficient; ​
8. Testing &amp; QA: All triggers, templates, and communications will be tested for
delivery, personalization, and reporting​
9. Reporting &amp; Analytics: Basic delivery and engagement reporting implemented; no
advanced analytics or AI/ML​
10. Operational Readiness: Go-live support, monitoring, and knowledge transfer
included​
11. Dependencies: Business approvals and sign-offs are available in a timely manner.​
</t>
    </r>
    <r>
      <rPr>
        <i/>
        <sz val="11"/>
        <color theme="1"/>
        <rFont val="Calibri"/>
        <family val="2"/>
        <scheme val="minor"/>
      </rPr>
      <t xml:space="preserve">Key Exlcusions : </t>
    </r>
    <r>
      <rPr>
        <sz val="11"/>
        <color theme="1"/>
        <rFont val="Calibri"/>
        <family val="2"/>
        <scheme val="minor"/>
      </rPr>
      <t xml:space="preserve">
1. NC development efforts​
2. Suppression logic  ​
3. No data model redesigned​
</t>
    </r>
    <r>
      <rPr>
        <i/>
        <sz val="11"/>
        <color theme="1"/>
        <rFont val="Calibri"/>
        <family val="2"/>
        <scheme val="minor"/>
      </rPr>
      <t xml:space="preserve">Note : </t>
    </r>
    <r>
      <rPr>
        <sz val="11"/>
        <color theme="1"/>
        <rFont val="Calibri"/>
        <family val="2"/>
        <scheme val="minor"/>
      </rPr>
      <t xml:space="preserve">
1. 14% deducted to account for VMO2 staff transferred to TCS
​</t>
    </r>
  </si>
  <si>
    <r>
      <rPr>
        <i/>
        <sz val="11"/>
        <color theme="1"/>
        <rFont val="Calibri"/>
        <family val="2"/>
        <scheme val="minor"/>
      </rPr>
      <t xml:space="preserve">Key Assumptions : </t>
    </r>
    <r>
      <rPr>
        <sz val="11"/>
        <color theme="1"/>
        <rFont val="Calibri"/>
        <family val="2"/>
        <scheme val="minor"/>
      </rPr>
      <t xml:space="preserve">
1. Considered four environments: Dev, QA, Staging and Prod​
2. O2 Web application will be deployed on GCP servers ​
3. GCP development platform, Dynatrace tools will be provided by VMO2​
4. CI/CD pipeline needs to be setup, efforts to be included for the same​
5. Access to applications like Jira / Confluence / GitHub already in place​
6. Testing tools like Brower stack, JMeter will be provided to development team​
</t>
    </r>
    <r>
      <rPr>
        <i/>
        <sz val="11"/>
        <color theme="1"/>
        <rFont val="Calibri"/>
        <family val="2"/>
        <scheme val="minor"/>
      </rPr>
      <t>Key Exclusions :</t>
    </r>
    <r>
      <rPr>
        <sz val="11"/>
        <color theme="1"/>
        <rFont val="Calibri"/>
        <family val="2"/>
        <scheme val="minor"/>
      </rPr>
      <t xml:space="preserve">
1. NC development efforts​
2. Datadog and Braze integration is out of scope​
3. Product and UI / UX design​ 
4. Scrum Master​
5. Netcracker’s catalogue is out of scope
</t>
    </r>
    <r>
      <rPr>
        <i/>
        <sz val="11"/>
        <color theme="1"/>
        <rFont val="Calibri"/>
        <family val="2"/>
        <scheme val="minor"/>
      </rPr>
      <t xml:space="preserve">Note : </t>
    </r>
    <r>
      <rPr>
        <sz val="11"/>
        <color theme="1"/>
        <rFont val="Calibri"/>
        <family val="2"/>
        <scheme val="minor"/>
      </rPr>
      <t xml:space="preserve">
- VMO2 actual costs updated to excluded £5m of costs for:
   1. Product and UX design
   2. Netcracker
   3. Non-transferred VMO2 FTE
This has been deducted from the VMO2 actuals.
- VMO2 actual costs updated on 08/06 with a 14% deduction to account for VMO2 staff transferred to TCS</t>
    </r>
  </si>
  <si>
    <t>TCS Finalised Estimates</t>
  </si>
  <si>
    <r>
      <rPr>
        <i/>
        <sz val="11"/>
        <color theme="1"/>
        <rFont val="Calibri"/>
        <family val="2"/>
        <scheme val="minor"/>
      </rPr>
      <t xml:space="preserve">Key Exclusions: </t>
    </r>
    <r>
      <rPr>
        <sz val="11"/>
        <color theme="1"/>
        <rFont val="Calibri"/>
        <family val="2"/>
        <scheme val="minor"/>
      </rPr>
      <t xml:space="preserve">
1. Implementing the dynamic BRE change is out of this scope which will need a CR.
2. Any other existing data issues from phase-3 are out of scope for this engagement.
</t>
    </r>
    <r>
      <rPr>
        <i/>
        <sz val="11"/>
        <color theme="1"/>
        <rFont val="Calibri"/>
        <family val="2"/>
        <scheme val="minor"/>
      </rPr>
      <t>Note :</t>
    </r>
    <r>
      <rPr>
        <sz val="11"/>
        <color theme="1"/>
        <rFont val="Calibri"/>
        <family val="2"/>
        <scheme val="minor"/>
      </rPr>
      <t xml:space="preserve"> 
Infosys commenced the delivery of this project. Circa 50% of the design and build cost was reduced, resulting in a very low DDP rate of £128 to compensate for the work carried out by Infosys.</t>
    </r>
  </si>
  <si>
    <r>
      <rPr>
        <i/>
        <sz val="11"/>
        <color theme="1"/>
        <rFont val="Calibri"/>
        <family val="2"/>
        <scheme val="minor"/>
      </rPr>
      <t xml:space="preserve">Key Exclusions : </t>
    </r>
    <r>
      <rPr>
        <sz val="11"/>
        <color theme="1"/>
        <rFont val="Calibri"/>
        <family val="2"/>
        <scheme val="minor"/>
      </rPr>
      <t xml:space="preserve">
1. Any DATA Quality check is out of this IA scope.
2. Downstream flow or any reporting is out of this IA scope.
3. Ingestion into CSQL is out of scope.
</t>
    </r>
    <r>
      <rPr>
        <i/>
        <sz val="11"/>
        <color theme="1"/>
        <rFont val="Calibri"/>
        <family val="2"/>
        <scheme val="minor"/>
      </rPr>
      <t xml:space="preserve">Note : 
</t>
    </r>
    <r>
      <rPr>
        <sz val="11"/>
        <color theme="1"/>
        <rFont val="Calibri"/>
        <family val="2"/>
        <scheme val="minor"/>
      </rPr>
      <t>Project escalations led to a substantial discount, reducing the ingestion rate to £66, compared to the minimum rate of £140. Note that the actual supplier costs would have been £227,161 (based on a £140 per ingestion point) without the discount.</t>
    </r>
  </si>
  <si>
    <r>
      <rPr>
        <i/>
        <sz val="11"/>
        <color theme="1"/>
        <rFont val="Calibri"/>
        <family val="2"/>
        <scheme val="minor"/>
      </rPr>
      <t>Note :</t>
    </r>
    <r>
      <rPr>
        <sz val="11"/>
        <color theme="1"/>
        <rFont val="Calibri"/>
        <family val="2"/>
        <scheme val="minor"/>
      </rPr>
      <t xml:space="preserve"> 
The is due to the Datastream implementation presenting some complexities.</t>
    </r>
  </si>
  <si>
    <r>
      <t xml:space="preserve">Key Exclusions :
1. Any data corrections in BAU table that are used as source for report.
</t>
    </r>
    <r>
      <rPr>
        <i/>
        <sz val="11"/>
        <color theme="1"/>
        <rFont val="Calibri"/>
        <family val="2"/>
        <scheme val="minor"/>
      </rPr>
      <t>Note :</t>
    </r>
    <r>
      <rPr>
        <sz val="11"/>
        <color theme="1"/>
        <rFont val="Calibri"/>
        <family val="2"/>
        <scheme val="minor"/>
      </rPr>
      <t xml:space="preserve">
The number of data delivery points (DDP) in the original IA was reduced from 23 to 12 during the design phase, which contributed to the variance.</t>
    </r>
  </si>
  <si>
    <r>
      <rPr>
        <i/>
        <sz val="11"/>
        <color theme="1"/>
        <rFont val="Calibri"/>
        <family val="2"/>
        <scheme val="minor"/>
      </rPr>
      <t xml:space="preserve">Key Exclusions : </t>
    </r>
    <r>
      <rPr>
        <sz val="11"/>
        <color theme="1"/>
        <rFont val="Calibri"/>
        <family val="2"/>
        <scheme val="minor"/>
      </rPr>
      <t xml:space="preserve">
1. Any activities or services not explicitly set out in the scope of the IA.
2. The procurement and / or funding of GCP infrastructure and licensing as well as the management of any Customer processes to secure the required funding.
3. Success Factor decommissioning expected to be completed by the SSFF decommissioning programme.
4. The migration/transformation approach does not anticipate change in business logic. Should the Customer request to change some business logic/KPIs, the stakeholders will discuss and agree through the Change Control Procedure.
</t>
    </r>
    <r>
      <rPr>
        <i/>
        <sz val="11"/>
        <color theme="1"/>
        <rFont val="Calibri"/>
        <family val="2"/>
        <scheme val="minor"/>
      </rPr>
      <t xml:space="preserve">Note : </t>
    </r>
    <r>
      <rPr>
        <sz val="11"/>
        <color theme="1"/>
        <rFont val="Calibri"/>
        <family val="2"/>
        <scheme val="minor"/>
      </rPr>
      <t xml:space="preserve">
Accenture built and extended the system, and hence knew this system. However, the amount of effort taken on the project surpassed their estimates. Hence the variance is likely, at least in part, down to the more realistic costing approach of TCS.</t>
    </r>
  </si>
  <si>
    <t>Netcraft Projects</t>
  </si>
  <si>
    <t>Mobile Backhaul</t>
  </si>
  <si>
    <t>Fixed GIS (IQGEO) Data Connector</t>
  </si>
  <si>
    <t>Netcraft - Optical Backhaul (CFNT 1386) and Transmission Planning Enhancements (CNFT 1100)</t>
  </si>
  <si>
    <t>Optical Backhaul (CNFT 1386) Key Assumptions:
1. All the changes are to be done only in the Appian NetCraft application, and no changes are required in upstream or downstream systems.
2. Existing Notification components will be used, and configuration changes will be done as per the new User Stories requirement.
Transmission Planning Enhancements (CNFT 1100) : Key Assumptions:
1. All the changes are to be done only in the Appian NetCraft application, and no changes are required in upstream or downstream systems.
2. Existing Notification components will be used, and configuration changes will be done as per the new User Stories requirement.</t>
  </si>
  <si>
    <t>Wholesale Account and Reseller Management Tranche 1</t>
  </si>
  <si>
    <t>Wholesale Service Assurance Drops 1 and 2</t>
  </si>
  <si>
    <r>
      <rPr>
        <i/>
        <sz val="11"/>
        <color theme="1"/>
        <rFont val="Calibri"/>
        <family val="2"/>
        <scheme val="minor"/>
      </rPr>
      <t>Key Assumptions :</t>
    </r>
    <r>
      <rPr>
        <sz val="11"/>
        <color theme="1"/>
        <rFont val="Calibri"/>
        <family val="2"/>
        <scheme val="minor"/>
      </rPr>
      <t xml:space="preserve">
1.  Mandatory Data Availability from CIO APIs - CIO g/w will provide all mandatory data elements required to support OSS integration from upstream systems/transitions through the South bound network integration. 
2. All security and legal compliance approvals are presumed to be in place from the platform setup or end-to-end design stage.
3. Compliance checkpoints (DESA/TSA) to be agreed.
</t>
    </r>
    <r>
      <rPr>
        <i/>
        <sz val="11"/>
        <color theme="1"/>
        <rFont val="Calibri"/>
        <family val="2"/>
        <scheme val="minor"/>
      </rPr>
      <t xml:space="preserve">Note : </t>
    </r>
    <r>
      <rPr>
        <sz val="11"/>
        <color theme="1"/>
        <rFont val="Calibri"/>
        <family val="2"/>
        <scheme val="minor"/>
      </rPr>
      <t xml:space="preserve">
1. VMO2 actual costs, which cover three phases, were divided by three to enable an accurate comparison with TechM's estimates, which are based solely on Phase 1a.</t>
    </r>
  </si>
  <si>
    <t>The IQGeo and GCOMMS Data Connector Development comprises of 2 main components:
• IQGeo Network Manager Product which is the GIS Tool and
• Data Connector, which will enable data transfer between GCOMMS (on-prem) &amp; IQGeo(Cloud) Uni-directionally
A Data Connector was developed to enable the migration of  data along with subsequent data sychronisation between GCOMMS and IQGeo during the Pilot and IQGEO implementation project phases. This was required to avoid a big bang migration of data from GCOMMS into IQGeo and both these platforms will co-exist for a period. The Data Connector will only be needed until GCOMMS is decommissioned.</t>
  </si>
  <si>
    <r>
      <rPr>
        <i/>
        <sz val="11"/>
        <color theme="1"/>
        <rFont val="Calibri"/>
        <family val="2"/>
        <scheme val="minor"/>
      </rPr>
      <t xml:space="preserve">Key Exclusions:
</t>
    </r>
    <r>
      <rPr>
        <sz val="11"/>
        <color theme="1"/>
        <rFont val="Calibri"/>
        <family val="2"/>
        <scheme val="minor"/>
      </rPr>
      <t>1. Data cleanup on IQGeo or GCOMMS for any existing data was excluded from the TechM estimates.
2. Visual QC of data on IQGeo NMT screen was also excluded.</t>
    </r>
  </si>
  <si>
    <r>
      <rPr>
        <i/>
        <sz val="11"/>
        <rFont val="Calibri"/>
        <family val="2"/>
        <scheme val="minor"/>
      </rPr>
      <t xml:space="preserve">Key Assumptions:
</t>
    </r>
    <r>
      <rPr>
        <sz val="11"/>
        <rFont val="Calibri"/>
        <family val="2"/>
        <scheme val="minor"/>
      </rPr>
      <t xml:space="preserve">1. Mobile backhaul aggregation is pre-configured and only access service provide/activate/cease is in scope. 
2. The scope of activation for the purpose of this HLIA is limited to Ciena 5171 port.
3. Initial lifecycle scope is limited to new service provisioning (plan → in‑service) and Deletion (in-service -&gt; Cease) only. </t>
    </r>
    <r>
      <rPr>
        <i/>
        <sz val="11"/>
        <rFont val="Calibri"/>
        <family val="2"/>
        <scheme val="minor"/>
      </rPr>
      <t xml:space="preserve">
Key Exclusions:
</t>
    </r>
    <r>
      <rPr>
        <sz val="11"/>
        <rFont val="Calibri"/>
        <family val="2"/>
        <scheme val="minor"/>
      </rPr>
      <t xml:space="preserve">1. Modifying MBH access services. Only Provide and Cease were considered in scope for the HLIA and TechM estimates.
2. Solution and efforts required for site readiness and physical connectivity not considered in the scope of HLIA. Assumed that those would be ready when the Ciena 5171 port is configured. 
3. HLIA does not consider the solution and efforts for field engineer activities related to MBH service activations.
4. Config activities on CSG are not in scope of this HLIA. 
5. Classifier and Vault integrations. It is assumed that these interfaces are already existing.
6. NetCM impact for API creation and service implementation is excluded. Only Integration efforts between IAP-NetCM are considered. 
7. Assumption that there will be 2 NetCM APIs. One for Retrieval of inventory details, second for update of services post activation.
8. TACACS+ zone, system user and password would be set up in line with TSA policies and is out of scope for this IA.  
9. IAP GUI Role based access must be appropriately defined for initiating these workflows. Assumed that role based access is pre-provisioned and out of scope of this HLIA. 
10. CIF Definition is out of scope and assumed that they are pre-defined and readily available for consumption. </t>
    </r>
  </si>
  <si>
    <t>Partner Project Unit Estimate (PUs)</t>
  </si>
  <si>
    <t>Please note that Partner Cost Estimate (£) has been calculated using the Partner Project Unit Estimate (PUs) and the TCS sign-offed PUR (£425.52)</t>
  </si>
  <si>
    <t>Please note that Partner Cost Estimate (£) has been calculated using the Partner Project Unit Estimate (PUs) and the TechM sign-offed PUR (£394.04)</t>
  </si>
  <si>
    <t>Wholesale Service Assurance - Drops 1 and 2</t>
  </si>
  <si>
    <t>See above</t>
  </si>
  <si>
    <t>Service Assurance Drops 1 and 2</t>
  </si>
  <si>
    <t>Wholesale Account &amp; Reseller Mgmt Tranche 1</t>
  </si>
  <si>
    <r>
      <rPr>
        <i/>
        <sz val="11"/>
        <color theme="1"/>
        <rFont val="Calibri"/>
        <family val="2"/>
        <scheme val="minor"/>
      </rPr>
      <t xml:space="preserve">Key Assumptions : </t>
    </r>
    <r>
      <rPr>
        <sz val="11"/>
        <color theme="1"/>
        <rFont val="Calibri"/>
        <family val="2"/>
        <scheme val="minor"/>
      </rPr>
      <t xml:space="preserve">
1. # of channels : 4 (Email, SMS, WEB &amp; MMS)
2. # of canvas : The data has been bifurcated into 70% Medium and 30% Complex.
3. # of templates : We considered maximum data i.e. 100 
4. # of new audience : Data given 20+ so we considered 25 .The data has been bifurcated into 50% Medium and 50% Complex.
5. # of segment : Although no segment details were provided, audience creation is not possible without segments; therefore, we assumed approximately 10 segments.
</t>
    </r>
    <r>
      <rPr>
        <i/>
        <sz val="11"/>
        <color theme="1"/>
        <rFont val="Calibri"/>
        <family val="2"/>
        <scheme val="minor"/>
      </rPr>
      <t>Key Exclusions :</t>
    </r>
    <r>
      <rPr>
        <sz val="11"/>
        <color theme="1"/>
        <rFont val="Calibri"/>
        <family val="2"/>
        <scheme val="minor"/>
      </rPr>
      <t xml:space="preserve">
1. Building, retraining or monitoring AI/ML models; Braze only consumes outputs.​
2. Development or maintenance of upstream data pipelines,  or backend systems.​
3. Defining or interpreting governance policies (GDPR, consent, suppression, accessibility).​
4. Advanced analytics, reporting, or features outside Braze native capabilities.​
</t>
    </r>
    <r>
      <rPr>
        <i/>
        <sz val="11"/>
        <color theme="1"/>
        <rFont val="Calibri"/>
        <family val="2"/>
        <scheme val="minor"/>
      </rPr>
      <t xml:space="preserve">Note : </t>
    </r>
    <r>
      <rPr>
        <sz val="11"/>
        <color theme="1"/>
        <rFont val="Calibri"/>
        <family val="2"/>
        <scheme val="minor"/>
      </rPr>
      <t xml:space="preserve">
1. 14% deduction to account for VMO2 staff transferred to TCS.
2. VMO2 actuals includes a deduction of £2,400,000 which was the cost for RetainX.
3.  VMO2 actual costs included a one-off cost of £1,322,000 paid to Accenture, which was deducted from the VMO2 actual costs.</t>
    </r>
  </si>
  <si>
    <t>Link to Estimates (VMO2 SharePoint)</t>
  </si>
  <si>
    <t>Data TCS Estimates</t>
  </si>
  <si>
    <t>Consumer DFE TCS Estimates</t>
  </si>
  <si>
    <t>Link to Estimates (Tri-party SharePoint)</t>
  </si>
  <si>
    <t>Awaiting VMO2 confirmation on actuals</t>
  </si>
  <si>
    <t>TBC</t>
  </si>
  <si>
    <t>Optical Backhaul (CNFT 1386) : This is an initiative to automatically add Optical Backhaul Devices to sites when System is selected as the connection type.
Transmission Planning Enhancements (CNFT 1100) : This is an intiative that is concerned with delivering the following two epics : 
1. Sync Tasks for New Devices : This epic involves the creation and implementation of two new task types, "Preliminary Sync Check" and "Device Sync," within the NetCraft application. These tasks are designed to manage the synchronization of new devices added to the network.
2. Fibre Feasibility : This epic involves creating a new connection type and implement a connectivity path for fibre feasibility within a NetCraft application.</t>
  </si>
  <si>
    <t>TCS Project Unit Estimate (PUs)</t>
  </si>
  <si>
    <t>TCS Cost Estimate (£)</t>
  </si>
  <si>
    <r>
      <rPr>
        <i/>
        <sz val="11"/>
        <color theme="1"/>
        <rFont val="Calibri"/>
        <family val="2"/>
        <scheme val="minor"/>
      </rPr>
      <t>Key Assumptions :</t>
    </r>
    <r>
      <rPr>
        <sz val="11"/>
        <color theme="1"/>
        <rFont val="Calibri"/>
        <family val="2"/>
        <scheme val="minor"/>
      </rPr>
      <t xml:space="preserve">
1. This estimation includes effort for System Analysis &amp; Design, Testing, Development, Project Delivery for Wholesale ZIRA, APIGEE. Efforts for changes for executing the program on other components are not included. 
2. Environments setup for ZIRA and other components e.g. Zinier, Helix, L2D, Code is not considered as it is considered by individual platforms e.g. BMC Helix, Zinier are on SAAS platform.
3. TechM estimates cover the ZIRA configuration as well as custom development.
4. ZIRA Product Code Deployment and related process is not considered as it is primarily done by ZIRA.
5. No POC efforts for architecture feasibility, security compliance are considered as they would have been considered during the ZIRA product selection for the WSA Solution.
6. BA is from VMO2 and will primarily be responsible for creation of the DBR’s. However support to BA by the Component Solution Designer for refining the DBR’s has been considered.
7. UAT support is considered in effort estimation, But Actual UAT will not be done by TechM.
</t>
    </r>
    <r>
      <rPr>
        <i/>
        <sz val="11"/>
        <color theme="1"/>
        <rFont val="Calibri"/>
        <family val="2"/>
        <scheme val="minor"/>
      </rPr>
      <t xml:space="preserve">Key Exclusions : </t>
    </r>
    <r>
      <rPr>
        <sz val="11"/>
        <color theme="1"/>
        <rFont val="Calibri"/>
        <family val="2"/>
        <scheme val="minor"/>
      </rPr>
      <t xml:space="preserve">
1. Products and Services : ZIRA Deployment, Development and Product Support, ZIRA Infrastructure Monitoring.
2. Customers and Segments : Training to CPs, FSM Field Engineer.
3. Business Capabilities and Processes : 
3.1 Defining and Implementing Service Transition and Operation Support Model across all applications involved.
3.2 ZIRA Product Upgrade support &amp; testing. 
4. IT / Network Capabilities and Platforms : Product support and development of, Hansen ANEP.
5. Environment Support &amp; Deployment : Zira environmental support and code deployment is out of scope for TechM.</t>
    </r>
  </si>
  <si>
    <r>
      <rPr>
        <i/>
        <sz val="11"/>
        <color theme="1"/>
        <rFont val="Calibri"/>
        <family val="2"/>
        <scheme val="minor"/>
      </rPr>
      <t>Key Assumptions :</t>
    </r>
    <r>
      <rPr>
        <sz val="11"/>
        <color theme="1"/>
        <rFont val="Calibri"/>
        <family val="2"/>
        <scheme val="minor"/>
      </rPr>
      <t xml:space="preserve"> 
1. This estimation only includes effort for Wholesale Helix Component, APIGEE. 
Efforts for changes for executing the program on other components are not included for e.g. Changes to FSM , VMO2 Remedy, Revenue &amp; Accounting Platform for SLA calculation and Penalties. 
2. Environments setup for BMC Helix and other components e.g. Zinier, Zira, L2D , Code is not considered as it is considered by individual platforms e.g. BMC Helix, Zinier are on SAAS platform.
3. Release Window of BMC Helix Product Releases is managed by BMC Helix and coordinated with the Program windows. Regression, Performance, Security testing as required is managed by BMC. There is no disruption considered to the Program plan.
4. BMC Helix Code Deployment and related BMC process is not considered as it is primarily done By BMC as its on SAAS platform.
5. No POC efforts for architecture feasibility, security compliance are considered as they would have been considered during the BMC Helix product selection for the WSA Solution.
6. Base Data Creation to enable the first ISP’s to be able to do trails has been considered as a one time activity. Any iterative Data creation for subsequent/new requirements from ISP’s has not been considered.
7. BA is from VMO2 and will primarily be responsible for creation of the DBR’s. However support to BA by the Component Solution Designer for refining the DBR’s has been considered.
8. UAT support is considered in effort estimation, But Actual UAT will not be done by TechM.
9. The revised estimation has the estimates split into 2 Drops. 
Drop 1 which is followed by Drop 2.
The scope of Drop 1 &amp; Drop 2 remains as shown in section 5
The split was reviewed with the Solution Designer based on his assessment. 
10. The estimation HLIA_WSA_Drop1_2_V2 (this document), has considered that Drop 1 will be Deployed first and followed by Drop 2.
Estimation in V1 (previous version) considered Drop 1 and Drop 2 as delivered in continuous sprints. 
Continuous Sprints promote lower efforts for regression testing, root cause to fix, simpler code build, environment management, DevOps, integration test and fix where efforts are planned and consumed in sprint chunks and therefore less complex to maintain and easier and earlier to fix and retest.
With the model to build Drop 1 and then Drop 2 there is therefore an upward revision in efforts for the DevOps &amp; code maintenance, environment management, version control,  code integration, test execution, development etc. 
11.The Estimation shown for Drop 1 includes the efforts for development and delivery of Helix, Apigee and L2D as these would ideally have formed the core of the expected scope for Drop 1.
As the uncertainty and methodology followed in the early part of the Drop1 build is unknown, a guesstimate has been made for the extra efforts that may have been expended had the delivery followed the arc of what happened during the actual delivery of Drop 1. Therefore, following a similar pattern to the efforts that BMC,  Apigee and L2D may have expended, the efforts have been revised in this version.
These efforts and costs are in no way reflective of what TechM could actually have incurred as the methodology and those efforts were presented in the first version of the estimation.
12. The Estimation for Drop 2 includes the efforts related to the development and delivery of Helix and the incremental work in Apigee and small incremental regression or changes in L2D following delivery of Drop 1. 
</t>
    </r>
    <r>
      <rPr>
        <i/>
        <sz val="11"/>
        <color theme="1"/>
        <rFont val="Calibri"/>
        <family val="2"/>
        <scheme val="minor"/>
      </rPr>
      <t>Key Exclusions:</t>
    </r>
    <r>
      <rPr>
        <sz val="11"/>
        <color theme="1"/>
        <rFont val="Calibri"/>
        <family val="2"/>
        <scheme val="minor"/>
      </rPr>
      <t xml:space="preserve">
1. Product and Services : BMC Helix Deployment, and Product Support, Helix Infrastructure Monitoring, BMC Helix EOL Support.
2. Customers and Segments : VMO2 Operation Teams structure, setup and process will be defined outside of the scope of this work.
3. Business Capabilities and Processes :
3.1 Defining and Implementing Operation Support Model across all applications involved.
3.2 BMC Helix Product Upgrade support &amp; testing.
4. IT / Network Capabilities and Platforms : Product support and development of LDAP (Active Directory), FSM, GCP Wholesale Middleware, Data-lake, Hansen ANEP.  All are being progressed separately and Helix will utilise exposed APIs as required but will not change any published APIs.
5. Phase 4 &amp; 5 : From the 232 DBR’s under consideration, the Phase 4 &amp; Phase 5 DBR’s have been removed from the estimation of Drop 2 based on the evaluation and labelling of the DBR’s to the respective Drops in consultation with Sagar Sansare, the Solution Designer for WSA. 
6. ITTS : Accenture ITTS services are excluded.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</si>
</sst>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8" formatCode="&quot;£&quot;#,##0.00;[Red]\-&quot;£&quot;#,##0.00"/>
    <numFmt numFmtId="44" formatCode="_-&quot;£&quot;* #,##0.00_-;\-&quot;£&quot;* #,##0.00_-;_-&quot;£&quot;* &quot;-&quot;??_-;_-@_-"/>
    <numFmt numFmtId="43" formatCode="_-* #,##0.00_-;\-* #,##0.00_-;_-* &quot;-&quot;??_-;_-@_-"/>
    <numFmt numFmtId="164" formatCode="_-* #,##0_-;\-* #,##0_-;_-* &quot;-&quot;??_-;_-@_-"/>
    <numFmt numFmtId="165" formatCode="&quot;£&quot;#,##0"/>
    <numFmt numFmtId="166" formatCode="&quot;£&quot;#,##0.00"/>
  </numFmts>
  <fonts count="20" x14ac:knownFonts="1">
    <font>
      <sz val="11"/>
      <color theme="1"/>
      <name val="Calibri"/>
      <family val="2"/>
      <scheme val="minor"/>
    </font>
    <font>
      <sz val="11"/>
      <color theme="1"/>
      <name val="Calibri"/>
      <family val="2"/>
      <scheme val="minor"/>
    </font>
    <font>
      <u/>
      <sz val="11"/>
      <color theme="10"/>
      <name val="Calibri"/>
      <family val="2"/>
      <scheme val="minor"/>
    </font>
    <font>
      <b/>
      <sz val="14"/>
      <color theme="1"/>
      <name val="Calibri"/>
      <family val="2"/>
      <scheme val="minor"/>
    </font>
    <font>
      <b/>
      <sz val="12"/>
      <color theme="0"/>
      <name val="Calibri"/>
      <family val="2"/>
      <scheme val="minor"/>
    </font>
    <font>
      <b/>
      <sz val="12"/>
      <color rgb="FF000000"/>
      <name val="Calibri"/>
      <family val="2"/>
      <scheme val="minor"/>
    </font>
    <font>
      <sz val="12"/>
      <name val="Calibri"/>
      <family val="2"/>
      <scheme val="minor"/>
    </font>
    <font>
      <sz val="12"/>
      <color rgb="FF000000"/>
      <name val="Calibri"/>
      <family val="2"/>
      <scheme val="minor"/>
    </font>
    <font>
      <b/>
      <sz val="9"/>
      <color indexed="81"/>
      <name val="Tahoma"/>
      <family val="2"/>
    </font>
    <font>
      <sz val="9"/>
      <color indexed="81"/>
      <name val="Tahoma"/>
      <family val="2"/>
    </font>
    <font>
      <sz val="11"/>
      <name val="Calibri"/>
      <family val="2"/>
      <scheme val="minor"/>
    </font>
    <font>
      <sz val="11"/>
      <color rgb="FF000000"/>
      <name val="Calibri"/>
      <family val="2"/>
      <scheme val="minor"/>
    </font>
    <font>
      <i/>
      <sz val="11"/>
      <color theme="1"/>
      <name val="Calibri"/>
      <family val="2"/>
      <scheme val="minor"/>
    </font>
    <font>
      <b/>
      <sz val="11"/>
      <color theme="1"/>
      <name val="Calibri"/>
      <family val="2"/>
      <scheme val="minor"/>
    </font>
    <font>
      <i/>
      <sz val="11"/>
      <name val="Calibri"/>
      <family val="2"/>
      <scheme val="minor"/>
    </font>
    <font>
      <sz val="12"/>
      <color theme="1"/>
      <name val="Calibri"/>
      <family val="2"/>
      <scheme val="minor"/>
    </font>
    <font>
      <b/>
      <i/>
      <sz val="12"/>
      <color theme="1"/>
      <name val="Calibri"/>
      <family val="2"/>
      <scheme val="minor"/>
    </font>
    <font>
      <b/>
      <i/>
      <sz val="12"/>
      <name val="Calibri"/>
      <family val="2"/>
      <scheme val="minor"/>
    </font>
    <font>
      <i/>
      <sz val="12"/>
      <name val="Calibri"/>
      <family val="2"/>
      <scheme val="minor"/>
    </font>
    <font>
      <b/>
      <i/>
      <sz val="11"/>
      <name val="Calibri"/>
      <family val="2"/>
      <scheme val="minor"/>
    </font>
  </fonts>
  <fills count="7">
    <fill>
      <patternFill patternType="none"/>
    </fill>
    <fill>
      <patternFill patternType="gray125"/>
    </fill>
    <fill>
      <patternFill patternType="solid">
        <fgColor rgb="FF0070C0"/>
        <bgColor indexed="64"/>
      </patternFill>
    </fill>
    <fill>
      <patternFill patternType="solid">
        <fgColor rgb="FF00B050"/>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0.149998474074526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s>
  <cellStyleXfs count="5">
    <xf numFmtId="0" fontId="0" fillId="0" borderId="0"/>
    <xf numFmtId="43" fontId="1" fillId="0" borderId="0" applyFont="0" applyFill="0" applyBorder="0" applyAlignment="0" applyProtection="0"/>
    <xf numFmtId="0" fontId="2"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18">
    <xf numFmtId="0" fontId="0" fillId="0" borderId="0" xfId="0"/>
    <xf numFmtId="0" fontId="3" fillId="0" borderId="0" xfId="0" applyFont="1"/>
    <xf numFmtId="0" fontId="0" fillId="0" borderId="0" xfId="0" applyAlignment="1">
      <alignment wrapText="1"/>
    </xf>
    <xf numFmtId="0" fontId="0" fillId="0" borderId="9" xfId="0" applyBorder="1" applyAlignment="1">
      <alignment vertical="top" wrapText="1"/>
    </xf>
    <xf numFmtId="0" fontId="5" fillId="0" borderId="7" xfId="0" applyFont="1" applyBorder="1" applyAlignment="1">
      <alignment horizontal="left" vertical="top" wrapText="1"/>
    </xf>
    <xf numFmtId="0" fontId="0" fillId="0" borderId="1" xfId="0" applyBorder="1" applyAlignment="1">
      <alignment vertical="top" wrapText="1"/>
    </xf>
    <xf numFmtId="0" fontId="5" fillId="0" borderId="11" xfId="0" applyFont="1" applyBorder="1" applyAlignment="1">
      <alignment horizontal="left" vertical="top" wrapText="1"/>
    </xf>
    <xf numFmtId="0" fontId="0" fillId="0" borderId="6" xfId="0" applyBorder="1" applyAlignment="1">
      <alignment vertical="top" wrapText="1"/>
    </xf>
    <xf numFmtId="0" fontId="5" fillId="0" borderId="8" xfId="0" applyFont="1" applyBorder="1" applyAlignment="1">
      <alignment horizontal="left" vertical="top" wrapText="1"/>
    </xf>
    <xf numFmtId="0" fontId="7" fillId="0" borderId="0" xfId="0" applyFont="1" applyAlignment="1">
      <alignment vertical="center"/>
    </xf>
    <xf numFmtId="0" fontId="5" fillId="0" borderId="0" xfId="0" applyFont="1" applyAlignment="1">
      <alignment horizontal="left" vertical="center" indent="1"/>
    </xf>
    <xf numFmtId="0" fontId="5" fillId="0" borderId="7" xfId="0" applyFont="1" applyBorder="1" applyAlignment="1">
      <alignment vertical="top" wrapText="1"/>
    </xf>
    <xf numFmtId="0" fontId="6" fillId="0" borderId="6" xfId="0" applyFont="1" applyBorder="1" applyAlignment="1">
      <alignment vertical="top" wrapText="1"/>
    </xf>
    <xf numFmtId="164" fontId="0" fillId="0" borderId="6" xfId="1" applyNumberFormat="1" applyFont="1" applyBorder="1" applyAlignment="1">
      <alignment horizontal="right" wrapText="1"/>
    </xf>
    <xf numFmtId="165" fontId="0" fillId="0" borderId="6" xfId="0" applyNumberFormat="1" applyBorder="1" applyAlignment="1">
      <alignment horizontal="right" wrapText="1"/>
    </xf>
    <xf numFmtId="164" fontId="0" fillId="0" borderId="1" xfId="1" applyNumberFormat="1" applyFont="1" applyBorder="1" applyAlignment="1">
      <alignment horizontal="right" wrapText="1"/>
    </xf>
    <xf numFmtId="165" fontId="0" fillId="0" borderId="1" xfId="0" applyNumberFormat="1" applyBorder="1" applyAlignment="1">
      <alignment horizontal="right" wrapText="1"/>
    </xf>
    <xf numFmtId="165" fontId="0" fillId="0" borderId="9" xfId="0" applyNumberFormat="1" applyBorder="1" applyAlignment="1">
      <alignment horizontal="right" wrapText="1"/>
    </xf>
    <xf numFmtId="0" fontId="0" fillId="0" borderId="9" xfId="0" applyBorder="1" applyAlignment="1">
      <alignment horizontal="right" wrapText="1"/>
    </xf>
    <xf numFmtId="164" fontId="0" fillId="0" borderId="1" xfId="1" applyNumberFormat="1" applyFont="1" applyFill="1" applyBorder="1" applyAlignment="1">
      <alignment horizontal="right" wrapText="1"/>
    </xf>
    <xf numFmtId="164" fontId="0" fillId="0" borderId="1" xfId="1" quotePrefix="1" applyNumberFormat="1" applyFont="1" applyBorder="1" applyAlignment="1">
      <alignment horizontal="right" wrapText="1"/>
    </xf>
    <xf numFmtId="165" fontId="0" fillId="0" borderId="1" xfId="0" quotePrefix="1" applyNumberFormat="1" applyBorder="1" applyAlignment="1">
      <alignment horizontal="right" wrapText="1"/>
    </xf>
    <xf numFmtId="165" fontId="0" fillId="0" borderId="0" xfId="0" applyNumberFormat="1"/>
    <xf numFmtId="0" fontId="2" fillId="0" borderId="12" xfId="2" applyBorder="1"/>
    <xf numFmtId="0" fontId="2" fillId="0" borderId="10" xfId="2" applyBorder="1"/>
    <xf numFmtId="43" fontId="0" fillId="0" borderId="0" xfId="1" applyFont="1"/>
    <xf numFmtId="164" fontId="0" fillId="0" borderId="9" xfId="1" applyNumberFormat="1" applyFont="1" applyBorder="1" applyAlignment="1">
      <alignment horizontal="right" wrapText="1"/>
    </xf>
    <xf numFmtId="0" fontId="0" fillId="0" borderId="1" xfId="0" applyBorder="1" applyAlignment="1">
      <alignment horizontal="right" wrapText="1"/>
    </xf>
    <xf numFmtId="9" fontId="0" fillId="0" borderId="1" xfId="3" applyFont="1" applyBorder="1" applyAlignment="1">
      <alignment horizontal="right" wrapText="1"/>
    </xf>
    <xf numFmtId="9" fontId="0" fillId="0" borderId="6" xfId="3" applyFont="1" applyBorder="1" applyAlignment="1">
      <alignment horizontal="right" wrapText="1"/>
    </xf>
    <xf numFmtId="164" fontId="10" fillId="0" borderId="1" xfId="1" quotePrefix="1" applyNumberFormat="1" applyFont="1" applyBorder="1" applyAlignment="1">
      <alignment horizontal="right" wrapText="1"/>
    </xf>
    <xf numFmtId="0" fontId="0" fillId="0" borderId="0" xfId="0" applyAlignment="1">
      <alignment horizontal="left"/>
    </xf>
    <xf numFmtId="165" fontId="0" fillId="0" borderId="1" xfId="0" quotePrefix="1" applyNumberFormat="1" applyBorder="1" applyAlignment="1">
      <alignment horizontal="left" wrapText="1"/>
    </xf>
    <xf numFmtId="165" fontId="0" fillId="0" borderId="1" xfId="0" quotePrefix="1" applyNumberFormat="1" applyBorder="1" applyAlignment="1">
      <alignment horizontal="left" vertical="top" wrapText="1"/>
    </xf>
    <xf numFmtId="0" fontId="13" fillId="0" borderId="1" xfId="0" applyFont="1" applyBorder="1" applyAlignment="1">
      <alignment horizontal="right"/>
    </xf>
    <xf numFmtId="6" fontId="13" fillId="0" borderId="1" xfId="0" applyNumberFormat="1" applyFont="1" applyBorder="1"/>
    <xf numFmtId="9" fontId="0" fillId="0" borderId="1" xfId="3" applyFont="1" applyFill="1" applyBorder="1" applyAlignment="1">
      <alignment horizontal="right" wrapText="1"/>
    </xf>
    <xf numFmtId="0" fontId="7" fillId="0" borderId="1" xfId="0" applyFont="1" applyBorder="1" applyAlignment="1">
      <alignment horizontal="left" vertical="top" wrapText="1"/>
    </xf>
    <xf numFmtId="0" fontId="6" fillId="0" borderId="1" xfId="0" applyFont="1" applyBorder="1" applyAlignment="1">
      <alignment vertical="top" wrapText="1"/>
    </xf>
    <xf numFmtId="165" fontId="0" fillId="0" borderId="1" xfId="0" applyNumberFormat="1" applyBorder="1" applyAlignment="1">
      <alignment horizontal="left" vertical="top" wrapText="1"/>
    </xf>
    <xf numFmtId="0" fontId="7" fillId="0" borderId="6" xfId="0" applyFont="1" applyBorder="1" applyAlignment="1">
      <alignment horizontal="left" vertical="top" wrapText="1"/>
    </xf>
    <xf numFmtId="165" fontId="12" fillId="0" borderId="6" xfId="0" applyNumberFormat="1" applyFont="1" applyBorder="1" applyAlignment="1">
      <alignment horizontal="left" vertical="top" wrapText="1"/>
    </xf>
    <xf numFmtId="0" fontId="7" fillId="0" borderId="9" xfId="0" applyFont="1" applyBorder="1" applyAlignment="1">
      <alignment horizontal="left" vertical="top" wrapText="1"/>
    </xf>
    <xf numFmtId="9" fontId="0" fillId="0" borderId="9" xfId="3" applyFont="1" applyBorder="1" applyAlignment="1">
      <alignment horizontal="right" wrapText="1"/>
    </xf>
    <xf numFmtId="0" fontId="2" fillId="0" borderId="13" xfId="2" applyBorder="1"/>
    <xf numFmtId="165" fontId="0" fillId="0" borderId="9" xfId="0" quotePrefix="1" applyNumberFormat="1" applyBorder="1" applyAlignment="1">
      <alignment horizontal="right" wrapText="1"/>
    </xf>
    <xf numFmtId="165" fontId="0" fillId="0" borderId="9" xfId="0" quotePrefix="1" applyNumberFormat="1" applyBorder="1" applyAlignment="1">
      <alignment horizontal="left" wrapText="1"/>
    </xf>
    <xf numFmtId="0" fontId="0" fillId="0" borderId="1" xfId="0" applyBorder="1" applyAlignment="1">
      <alignment horizontal="left" vertical="top" wrapText="1"/>
    </xf>
    <xf numFmtId="0" fontId="7" fillId="0" borderId="1" xfId="0" applyFont="1" applyBorder="1" applyAlignment="1">
      <alignment vertical="top" wrapText="1"/>
    </xf>
    <xf numFmtId="10" fontId="0" fillId="0" borderId="1" xfId="0" applyNumberFormat="1" applyBorder="1" applyAlignment="1">
      <alignment horizontal="right" wrapText="1"/>
    </xf>
    <xf numFmtId="10" fontId="0" fillId="0" borderId="6" xfId="0" applyNumberFormat="1" applyBorder="1" applyAlignment="1">
      <alignment horizontal="right" wrapText="1"/>
    </xf>
    <xf numFmtId="10" fontId="0" fillId="0" borderId="9" xfId="0" applyNumberFormat="1" applyBorder="1" applyAlignment="1">
      <alignment horizontal="right" wrapText="1"/>
    </xf>
    <xf numFmtId="0" fontId="0" fillId="0" borderId="9" xfId="0" applyBorder="1" applyAlignment="1">
      <alignment horizontal="left" vertical="top" wrapText="1"/>
    </xf>
    <xf numFmtId="0" fontId="0" fillId="0" borderId="6" xfId="0" applyBorder="1" applyAlignment="1">
      <alignment horizontal="right" wrapText="1"/>
    </xf>
    <xf numFmtId="0" fontId="5" fillId="4" borderId="7" xfId="0" applyFont="1" applyFill="1" applyBorder="1" applyAlignment="1">
      <alignment vertical="top" wrapText="1"/>
    </xf>
    <xf numFmtId="0" fontId="7" fillId="4" borderId="1" xfId="0" applyFont="1" applyFill="1" applyBorder="1" applyAlignment="1">
      <alignment vertical="top" wrapText="1"/>
    </xf>
    <xf numFmtId="0" fontId="0" fillId="4" borderId="1" xfId="0" applyFill="1" applyBorder="1" applyAlignment="1">
      <alignment vertical="top" wrapText="1"/>
    </xf>
    <xf numFmtId="164" fontId="0" fillId="4" borderId="1" xfId="1" applyNumberFormat="1" applyFont="1" applyFill="1" applyBorder="1" applyAlignment="1">
      <alignment horizontal="right" wrapText="1"/>
    </xf>
    <xf numFmtId="165" fontId="10" fillId="4" borderId="1" xfId="0" applyNumberFormat="1" applyFont="1" applyFill="1" applyBorder="1" applyAlignment="1">
      <alignment horizontal="right" wrapText="1"/>
    </xf>
    <xf numFmtId="10" fontId="10" fillId="4" borderId="1" xfId="0" applyNumberFormat="1" applyFont="1" applyFill="1" applyBorder="1" applyAlignment="1">
      <alignment horizontal="right" wrapText="1"/>
    </xf>
    <xf numFmtId="0" fontId="10" fillId="4" borderId="1" xfId="0" applyFont="1" applyFill="1" applyBorder="1" applyAlignment="1">
      <alignment horizontal="left" vertical="top" wrapText="1"/>
    </xf>
    <xf numFmtId="0" fontId="13" fillId="0" borderId="0" xfId="0" applyFont="1" applyAlignment="1">
      <alignment horizontal="right"/>
    </xf>
    <xf numFmtId="6" fontId="13" fillId="0" borderId="0" xfId="0" applyNumberFormat="1" applyFont="1"/>
    <xf numFmtId="0" fontId="15" fillId="0" borderId="0" xfId="0" applyFont="1"/>
    <xf numFmtId="0" fontId="13" fillId="0" borderId="15" xfId="0" applyFont="1" applyBorder="1"/>
    <xf numFmtId="0" fontId="15" fillId="5" borderId="1" xfId="0" applyFont="1" applyFill="1" applyBorder="1"/>
    <xf numFmtId="0" fontId="7" fillId="0" borderId="18" xfId="0" applyFont="1" applyBorder="1" applyAlignment="1">
      <alignment horizontal="left" vertical="top"/>
    </xf>
    <xf numFmtId="0" fontId="0" fillId="0" borderId="16" xfId="0" applyBorder="1"/>
    <xf numFmtId="0" fontId="0" fillId="0" borderId="17" xfId="0" applyBorder="1"/>
    <xf numFmtId="0" fontId="15" fillId="0" borderId="19" xfId="0" applyFont="1" applyBorder="1"/>
    <xf numFmtId="166" fontId="0" fillId="0" borderId="9" xfId="0" applyNumberFormat="1" applyBorder="1" applyAlignment="1">
      <alignment horizontal="right" wrapText="1"/>
    </xf>
    <xf numFmtId="0" fontId="11" fillId="0" borderId="1" xfId="0" applyFont="1" applyBorder="1" applyAlignment="1">
      <alignment vertical="top" wrapText="1"/>
    </xf>
    <xf numFmtId="0" fontId="2" fillId="0" borderId="20" xfId="2" applyBorder="1"/>
    <xf numFmtId="0" fontId="7" fillId="0" borderId="0" xfId="0" applyFont="1" applyAlignment="1">
      <alignment horizontal="left" vertical="top"/>
    </xf>
    <xf numFmtId="165" fontId="0" fillId="0" borderId="6" xfId="0" quotePrefix="1" applyNumberFormat="1" applyBorder="1" applyAlignment="1">
      <alignment horizontal="right" wrapText="1"/>
    </xf>
    <xf numFmtId="165" fontId="0" fillId="0" borderId="6" xfId="0" quotePrefix="1" applyNumberFormat="1" applyBorder="1" applyAlignment="1">
      <alignment horizontal="left" vertical="top" wrapText="1"/>
    </xf>
    <xf numFmtId="0" fontId="16" fillId="0" borderId="0" xfId="0" applyFont="1"/>
    <xf numFmtId="0" fontId="0" fillId="0" borderId="21" xfId="0" applyBorder="1" applyAlignment="1">
      <alignment vertical="top" wrapText="1"/>
    </xf>
    <xf numFmtId="165" fontId="0" fillId="0" borderId="21" xfId="0" applyNumberFormat="1" applyBorder="1" applyAlignment="1">
      <alignment horizontal="right" wrapText="1"/>
    </xf>
    <xf numFmtId="164" fontId="0" fillId="0" borderId="1" xfId="1" quotePrefix="1" applyNumberFormat="1" applyFont="1" applyFill="1" applyBorder="1" applyAlignment="1">
      <alignment horizontal="right" wrapText="1"/>
    </xf>
    <xf numFmtId="0" fontId="0" fillId="0" borderId="6" xfId="0" applyBorder="1" applyAlignment="1">
      <alignment horizontal="left" vertical="top" wrapText="1"/>
    </xf>
    <xf numFmtId="0" fontId="17" fillId="4" borderId="0" xfId="0" applyFont="1" applyFill="1"/>
    <xf numFmtId="0" fontId="18" fillId="0" borderId="0" xfId="0" applyFont="1" applyAlignment="1">
      <alignment horizontal="left" vertical="top"/>
    </xf>
    <xf numFmtId="0" fontId="18" fillId="0" borderId="0" xfId="0" applyFont="1"/>
    <xf numFmtId="0" fontId="19" fillId="0" borderId="0" xfId="0" applyFont="1" applyAlignment="1">
      <alignment horizontal="right"/>
    </xf>
    <xf numFmtId="6" fontId="19" fillId="0" borderId="0" xfId="0" applyNumberFormat="1" applyFont="1"/>
    <xf numFmtId="0" fontId="5" fillId="0" borderId="22" xfId="0" applyFont="1" applyBorder="1" applyAlignment="1">
      <alignment horizontal="left" vertical="top" wrapText="1"/>
    </xf>
    <xf numFmtId="0" fontId="7" fillId="0" borderId="21" xfId="0" applyFont="1" applyBorder="1" applyAlignment="1">
      <alignment horizontal="left" vertical="top" wrapText="1"/>
    </xf>
    <xf numFmtId="0" fontId="0" fillId="4" borderId="6" xfId="0" applyFill="1" applyBorder="1" applyAlignment="1">
      <alignment vertical="top" wrapText="1"/>
    </xf>
    <xf numFmtId="0" fontId="0" fillId="4" borderId="9" xfId="0" applyFill="1" applyBorder="1" applyAlignment="1">
      <alignment vertical="top" wrapText="1"/>
    </xf>
    <xf numFmtId="0" fontId="4" fillId="3" borderId="2"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wrapText="1"/>
    </xf>
    <xf numFmtId="0" fontId="2" fillId="0" borderId="1" xfId="2" applyBorder="1"/>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0" borderId="11" xfId="0" applyFont="1" applyBorder="1" applyAlignment="1">
      <alignment vertical="top" wrapText="1"/>
    </xf>
    <xf numFmtId="0" fontId="7" fillId="0" borderId="6" xfId="0" applyFont="1" applyBorder="1" applyAlignment="1">
      <alignment vertical="top" wrapText="1"/>
    </xf>
    <xf numFmtId="0" fontId="0" fillId="6" borderId="6" xfId="0" applyFill="1" applyBorder="1" applyAlignment="1">
      <alignment vertical="top" wrapText="1"/>
    </xf>
    <xf numFmtId="0" fontId="2" fillId="0" borderId="6" xfId="2" applyBorder="1"/>
    <xf numFmtId="0" fontId="2" fillId="0" borderId="9" xfId="2" applyBorder="1"/>
    <xf numFmtId="0" fontId="2" fillId="0" borderId="21" xfId="2" applyBorder="1"/>
    <xf numFmtId="9" fontId="0" fillId="0" borderId="21" xfId="3" applyFont="1" applyBorder="1" applyAlignment="1">
      <alignment horizontal="right" wrapText="1"/>
    </xf>
    <xf numFmtId="165" fontId="0" fillId="0" borderId="21" xfId="0" applyNumberFormat="1" applyBorder="1" applyAlignment="1">
      <alignment horizontal="left" vertical="top" wrapText="1"/>
    </xf>
    <xf numFmtId="8" fontId="13" fillId="0" borderId="1" xfId="0" applyNumberFormat="1" applyFont="1" applyBorder="1"/>
    <xf numFmtId="0" fontId="0" fillId="0" borderId="6" xfId="0" applyBorder="1" applyAlignment="1">
      <alignment horizontal="left" vertical="top" wrapText="1"/>
    </xf>
    <xf numFmtId="0" fontId="0" fillId="0" borderId="1" xfId="0" applyBorder="1" applyAlignment="1">
      <alignment horizontal="left" vertical="top" wrapText="1"/>
    </xf>
    <xf numFmtId="0" fontId="5" fillId="0" borderId="8" xfId="0" applyFont="1" applyBorder="1" applyAlignment="1">
      <alignment vertical="top" wrapText="1"/>
    </xf>
    <xf numFmtId="0" fontId="7" fillId="0" borderId="9" xfId="0" applyFont="1" applyBorder="1" applyAlignment="1">
      <alignment vertical="top" wrapText="1"/>
    </xf>
    <xf numFmtId="164" fontId="0" fillId="0" borderId="21" xfId="1" applyNumberFormat="1" applyFont="1" applyFill="1" applyBorder="1" applyAlignment="1">
      <alignment horizontal="right" wrapText="1"/>
    </xf>
    <xf numFmtId="164" fontId="0" fillId="0" borderId="6" xfId="1" quotePrefix="1" applyNumberFormat="1" applyFont="1" applyFill="1" applyBorder="1" applyAlignment="1">
      <alignment horizontal="right" wrapText="1"/>
    </xf>
  </cellXfs>
  <cellStyles count="5">
    <cellStyle name="Comma" xfId="1" builtinId="3"/>
    <cellStyle name="Currency 2" xfId="4" xr:uid="{985A9491-908C-4E07-B103-1D5E8289429B}"/>
    <cellStyle name="Hyperlink" xfId="2" builtinId="8"/>
    <cellStyle name="Normal" xfId="0" builtinId="0"/>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f:/r/sites/CIOCIOFY2026/Shared%20Documents/General/02.%20Workstreams/10.%20Transition/1.%20Commercial%20Transition%20Workstream/04.%20Baselining/Project%20Estimation/Calibration%20-%20TechM/Wholesale%20Projects/Wholesale%20TechM%20Estimates/Wholesale%20Account%20%26%20Reseller%20Mgmt%20Tranche%201?csf=1&amp;web=1&amp;e=Hvs350" TargetMode="External"/><Relationship Id="rId13" Type="http://schemas.openxmlformats.org/officeDocument/2006/relationships/hyperlink" Target="../../../../../../../../../../:f:/r/sites/CIOITTechTransformation-TechM-VMO2/Shared%20Documents/Tech%20M%20Commercial%20Workstream/Baselining/Wholesale%20Projects/TechM%20Finalised%20Estimates%20and%20HLIAs/Wholesale%20Service%20Assurance%20Drops%201%20and%202?csf=1&amp;web=1&amp;e=bnb6n1" TargetMode="External"/><Relationship Id="rId18" Type="http://schemas.openxmlformats.org/officeDocument/2006/relationships/comments" Target="../comments1.xml"/><Relationship Id="rId3" Type="http://schemas.openxmlformats.org/officeDocument/2006/relationships/hyperlink" Target="../../../../../../../../../../:f:/r/sites/CIOCIOFY2026/Shared%20Documents/General/02.%20Workstreams/10.%20Transition/1.%20Commercial%20Transition%20Workstream/04.%20Baselining/Project%20Estimation/Calibration%20-%20TechM/OSS%20Projects/OSS%20TechM%20Estimates/Netcraft%20Projects?csf=1&amp;web=1&amp;e=Xc1WLR" TargetMode="External"/><Relationship Id="rId7" Type="http://schemas.openxmlformats.org/officeDocument/2006/relationships/hyperlink" Target="../../../../../../../../../../:f:/r/sites/CIOCIOFY2026/Shared%20Documents/General/02.%20Workstreams/10.%20Transition/1.%20Commercial%20Transition%20Workstream/04.%20Baselining/Project%20Estimation/Calibration%20-%20TechM/Wholesale%20Projects/Wholesale%20TechM%20Estimates/Service%20Assurance%20Drops%201%20and%202?csf=1&amp;web=1&amp;e=ZNI0wc" TargetMode="External"/><Relationship Id="rId12" Type="http://schemas.openxmlformats.org/officeDocument/2006/relationships/hyperlink" Target="../../../../../../../../../../:f:/r/sites/CIOITTechTransformation-TechM-VMO2/Shared%20Documents/Tech%20M%20Commercial%20Workstream/Baselining/OSS%20Projects/TechM%20Finalised%20Estimates%20and%20HLIAs/API%20Gateway?csf=1&amp;web=1&amp;e=5IYNE7" TargetMode="External"/><Relationship Id="rId17" Type="http://schemas.openxmlformats.org/officeDocument/2006/relationships/vmlDrawing" Target="../drawings/vmlDrawing1.vml"/><Relationship Id="rId2" Type="http://schemas.openxmlformats.org/officeDocument/2006/relationships/hyperlink" Target="../../../../../../../../../../:f:/r/sites/CIOCIOFY2026/Shared%20Documents/General/02.%20Workstreams/10.%20Transition/1.%20Commercial%20Transition%20Workstream/04.%20Baselining/Project%20Estimation/Calibration%20-%20TechM/OSS%20Projects/OSS%20TechM%20Estimates/Mobile%20Backhaul?csf=1&amp;web=1&amp;e=VI8ekX" TargetMode="External"/><Relationship Id="rId16" Type="http://schemas.openxmlformats.org/officeDocument/2006/relationships/hyperlink" Target="../../../../../../../../../../:f:/r/sites/CIOITTechTransformation-TechM-VMO2/Shared%20Documents/Tech%20M%20Commercial%20Workstream/Baselining/Wholesale%20Projects/TechM%20Finalised%20Estimates%20and%20HLIAs/Wholesale%20Account%20and%20Reseller%20Management%20Tranche%201?csf=1&amp;web=1&amp;e=P82Snf" TargetMode="External"/><Relationship Id="rId1" Type="http://schemas.openxmlformats.org/officeDocument/2006/relationships/hyperlink" Target="../../../../../../../../../../:f:/r/sites/CIOCIOFY2026/Shared%20Documents/General/02.%20Workstreams/10.%20Transition/1.%20Commercial%20Transition%20Workstream/04.%20Baselining/Project%20Estimation/Calibration%20-%20TechM/OSS%20Projects/OSS%20TechM%20Estimates/Fixed%20GIS%20(IQGEO)%20Data%20Connector?csf=1&amp;web=1&amp;e=okCiNx" TargetMode="External"/><Relationship Id="rId6" Type="http://schemas.openxmlformats.org/officeDocument/2006/relationships/hyperlink" Target="../../../../../../../../../../:f:/r/sites/CIOCIOFY2026/Shared%20Documents/General/02.%20Workstreams/10.%20Transition/1.%20Commercial%20Transition%20Workstream/04.%20Baselining/Project%20Estimation/Calibration%20-%20TechM/Wholesale%20Projects/Wholesale%20TechM%20Estimates/Service%20Assurance%20Drops%201%20and%202?csf=1&amp;web=1&amp;e=ZNI0wc" TargetMode="External"/><Relationship Id="rId11" Type="http://schemas.openxmlformats.org/officeDocument/2006/relationships/hyperlink" Target="../../../../../../../../../../:f:/r/sites/CIOITTechTransformation-TechM-VMO2/Shared%20Documents/Tech%20M%20Commercial%20Workstream/Baselining/OSS%20Projects/TechM%20Finalised%20Estimates%20and%20HLIAs/Netcraft%20Projects?csf=1&amp;web=1&amp;e=LMS1vY" TargetMode="External"/><Relationship Id="rId5" Type="http://schemas.openxmlformats.org/officeDocument/2006/relationships/hyperlink" Target="../../../../../../../../../../:f:/r/sites/CIOCIOFY2026/Shared%20Documents/General/02.%20Workstreams/10.%20Transition/1.%20Commercial%20Transition%20Workstream/04.%20Baselining/Project%20Estimation/Calibration%20-%20TechM/Wholesale%20Projects/Wholesale%20TechM%20Estimates/Service%20Assurance%20Drops%201%20and%202?csf=1&amp;web=1&amp;e=ZNI0wc" TargetMode="External"/><Relationship Id="rId15" Type="http://schemas.openxmlformats.org/officeDocument/2006/relationships/hyperlink" Target="../../../../../../../../../../:f:/r/sites/CIOITTechTransformation-TechM-VMO2/Shared%20Documents/Tech%20M%20Commercial%20Workstream/Baselining/Wholesale%20Projects/TechM%20Finalised%20Estimates%20and%20HLIAs/Wholesale%20Service%20Assurance%20Drops%201%20and%202?csf=1&amp;web=1&amp;e=bnb6n1" TargetMode="External"/><Relationship Id="rId10" Type="http://schemas.openxmlformats.org/officeDocument/2006/relationships/hyperlink" Target="../../../../../../../../../../:f:/r/sites/CIOITTechTransformation-TechM-VMO2/Shared%20Documents/Tech%20M%20Commercial%20Workstream/Baselining/OSS%20Projects/TechM%20Finalised%20Estimates%20and%20HLIAs/Mobile%20Backhaul?csf=1&amp;web=1&amp;e=E2nuCb" TargetMode="External"/><Relationship Id="rId4" Type="http://schemas.openxmlformats.org/officeDocument/2006/relationships/hyperlink" Target="../../../../../../../../../../:f:/r/sites/CIOCIOFY2026/Shared%20Documents/General/02.%20Workstreams/10.%20Transition/1.%20Commercial%20Transition%20Workstream/04.%20Baselining/Project%20Estimation/Calibration%20-%20TechM/OSS%20Projects/OSS%20TechM%20Estimates/API%20Gateway?csf=1&amp;web=1&amp;e=7y6uvm" TargetMode="External"/><Relationship Id="rId9" Type="http://schemas.openxmlformats.org/officeDocument/2006/relationships/hyperlink" Target="../../../../../../../../../../:f:/r/sites/CIOITTechTransformation-TechM-VMO2/Shared%20Documents/Tech%20M%20Commercial%20Workstream/Baselining/OSS%20Projects/TechM%20Finalised%20Estimates%20and%20HLIAs/Fixed%20GIS%20(IQGEO)%20Data%20Connector?csf=1&amp;web=1&amp;e=wG8e9y" TargetMode="External"/><Relationship Id="rId14" Type="http://schemas.openxmlformats.org/officeDocument/2006/relationships/hyperlink" Target="../../../../../../../../../../:f:/r/sites/CIOITTechTransformation-TechM-VMO2/Shared%20Documents/Tech%20M%20Commercial%20Workstream/Baselining/Wholesale%20Projects/TechM%20Finalised%20Estimates%20and%20HLIAs/Wholesale%20Service%20Assurance%20Drops%201%20and%202?csf=1&amp;web=1&amp;e=bnb6n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f:/r/sites/CIOCIOFY2026/Shared%20Documents/General/02.%20Workstreams/10.%20Transition/1.%20Commercial%20Transition%20Workstream/04.%20Baselining/Project%20Estimation/Calibration%20-%20TCS/Consumer%20DFE%20projects/Consumer%20DFE%20TCS%20Estimates?csf=1&amp;web=1&amp;e=A8SLmA" TargetMode="External"/><Relationship Id="rId3" Type="http://schemas.openxmlformats.org/officeDocument/2006/relationships/hyperlink" Target="../../../../../../../../../../:f:/r/sites/CIOITTechTransformation-TCS-VMO2/Shared%20Documents/TCS%20Commercial%20Workstream/Baselining/Data%20Projects/TCS%20Finalised%20Estimates?csf=1&amp;web=1&amp;e=QO2OTL" TargetMode="External"/><Relationship Id="rId7" Type="http://schemas.openxmlformats.org/officeDocument/2006/relationships/hyperlink" Target="../../../../../../../../../../:f:/r/sites/CIOCIOFY2026/Shared%20Documents/General/02.%20Workstreams/10.%20Transition/1.%20Commercial%20Transition%20Workstream/04.%20Baselining/Project%20Estimation/Calibration%20-%20TCS/Consumer%20DFE%20projects/Consumer%20DFE%20TCS%20Estimates?csf=1&amp;web=1&amp;e=A8SLmA" TargetMode="External"/><Relationship Id="rId2" Type="http://schemas.openxmlformats.org/officeDocument/2006/relationships/hyperlink" Target="../../../../../../../../../../:f:/r/sites/CIOITTechTransformation-TCS-VMO2/Shared%20Documents/TCS%20Commercial%20Workstream/Baselining/Consumer%20Projects/Consumer%20-%20DFE/TCS%20Finalised%20Estimates?csf=1&amp;web=1&amp;e=LpssGf" TargetMode="External"/><Relationship Id="rId1" Type="http://schemas.openxmlformats.org/officeDocument/2006/relationships/hyperlink" Target="../../../../../../../../../../:f:/r/sites/CIOITTechTransformation-TCS-VMO2/Shared%20Documents/TCS%20Commercial%20Workstream/Baselining/Consumer%20Projects/Consumer%20-%20DFE/TCS%20Finalised%20Estimates?csf=1&amp;web=1&amp;e=LpssGf" TargetMode="External"/><Relationship Id="rId6" Type="http://schemas.openxmlformats.org/officeDocument/2006/relationships/hyperlink" Target="../../../../../../../../../../:f:/r/sites/CIOCIOFY2026/Shared%20Documents/General/02.%20Workstreams/10.%20Transition/1.%20Commercial%20Transition%20Workstream/04.%20Baselining/Project%20Estimation/Calibration%20-%20TCS/Data%20Projects/2.%20Data%20TCS%20Estimates?csf=1&amp;web=1&amp;e=hC61Li" TargetMode="External"/><Relationship Id="rId5" Type="http://schemas.openxmlformats.org/officeDocument/2006/relationships/hyperlink" Target="../../../../../../../../../../:f:/r/sites/CIOCIOFY2026/Shared%20Documents/General/02.%20Workstreams/10.%20Transition/1.%20Commercial%20Transition%20Workstream/04.%20Baselining/Project%20Estimation/Calibration%20-%20TCS/Data%20Projects/2.%20Data%20TCS%20Estimates?csf=1&amp;web=1&amp;e=hC61Li" TargetMode="External"/><Relationship Id="rId10" Type="http://schemas.openxmlformats.org/officeDocument/2006/relationships/comments" Target="../comments2.xml"/><Relationship Id="rId4" Type="http://schemas.openxmlformats.org/officeDocument/2006/relationships/hyperlink" Target="../../../../../../../../../../:f:/r/sites/CIOITTechTransformation-TCS-VMO2/Shared%20Documents/TCS%20Commercial%20Workstream/Baselining/Data%20Projects/TCS%20Finalised%20Estimates?csf=1&amp;web=1&amp;e=QO2OTL" TargetMode="External"/><Relationship Id="rId9"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79998168889431442"/>
  </sheetPr>
  <dimension ref="B1:Q24"/>
  <sheetViews>
    <sheetView showGridLines="0" tabSelected="1" zoomScale="80" zoomScaleNormal="80" workbookViewId="0">
      <pane xSplit="2" ySplit="9" topLeftCell="G13" activePane="bottomRight" state="frozen"/>
      <selection pane="topRight" activeCell="C1" sqref="C1"/>
      <selection pane="bottomLeft" activeCell="A9" sqref="A9"/>
      <selection pane="bottomRight" activeCell="L14" sqref="L14:L15"/>
    </sheetView>
  </sheetViews>
  <sheetFormatPr defaultRowHeight="14.5" x14ac:dyDescent="0.35"/>
  <cols>
    <col min="1" max="1" width="3.1796875" customWidth="1"/>
    <col min="2" max="3" width="12.81640625" customWidth="1"/>
    <col min="4" max="4" width="28.54296875" customWidth="1"/>
    <col min="5" max="5" width="17.81640625" customWidth="1"/>
    <col min="6" max="6" width="11" customWidth="1"/>
    <col min="7" max="7" width="55.81640625" customWidth="1"/>
    <col min="8" max="9" width="18.1796875" customWidth="1"/>
    <col min="10" max="10" width="14.81640625" customWidth="1"/>
    <col min="11" max="11" width="16.1796875" customWidth="1"/>
    <col min="12" max="12" width="74.90625" customWidth="1"/>
    <col min="13" max="13" width="49.6328125" style="2" customWidth="1"/>
    <col min="14" max="14" width="53.453125" style="2" customWidth="1"/>
    <col min="15" max="15" width="17.1796875" customWidth="1"/>
  </cols>
  <sheetData>
    <row r="1" spans="2:17" x14ac:dyDescent="0.35">
      <c r="M1"/>
    </row>
    <row r="2" spans="2:17" ht="18.5" x14ac:dyDescent="0.45">
      <c r="B2" s="1" t="s">
        <v>0</v>
      </c>
      <c r="C2" s="1"/>
      <c r="H2" s="34" t="s">
        <v>1</v>
      </c>
      <c r="I2" s="35">
        <v>394.04</v>
      </c>
      <c r="M2"/>
    </row>
    <row r="3" spans="2:17" ht="18.5" x14ac:dyDescent="0.45">
      <c r="B3" s="1"/>
      <c r="C3" s="1"/>
      <c r="H3" s="61"/>
      <c r="I3" s="62"/>
      <c r="M3"/>
    </row>
    <row r="4" spans="2:17" x14ac:dyDescent="0.35">
      <c r="B4" s="64" t="s">
        <v>2</v>
      </c>
      <c r="C4" s="67"/>
      <c r="D4" s="68"/>
      <c r="F4" s="61"/>
      <c r="G4" s="62"/>
      <c r="H4" s="61"/>
      <c r="I4" s="62"/>
      <c r="M4"/>
    </row>
    <row r="5" spans="2:17" ht="15.5" x14ac:dyDescent="0.35">
      <c r="B5" s="65"/>
      <c r="C5" s="66" t="s">
        <v>147</v>
      </c>
      <c r="D5" s="69"/>
      <c r="E5" s="63"/>
      <c r="F5" s="61"/>
      <c r="G5" s="62"/>
      <c r="H5" s="61"/>
      <c r="I5" s="62"/>
      <c r="M5"/>
    </row>
    <row r="6" spans="2:17" ht="15.5" x14ac:dyDescent="0.35">
      <c r="B6" s="63"/>
      <c r="C6" s="73"/>
      <c r="D6" s="63"/>
      <c r="E6" s="63"/>
      <c r="F6" s="61"/>
      <c r="G6" s="62"/>
      <c r="H6" s="61"/>
      <c r="I6" s="62"/>
      <c r="M6"/>
    </row>
    <row r="7" spans="2:17" ht="15.5" x14ac:dyDescent="0.35">
      <c r="B7" s="76" t="s">
        <v>137</v>
      </c>
      <c r="C7" s="73"/>
      <c r="D7" s="63"/>
      <c r="E7" s="63"/>
      <c r="F7" s="61"/>
      <c r="G7" s="62"/>
      <c r="H7" s="61"/>
      <c r="I7" s="62"/>
      <c r="M7"/>
    </row>
    <row r="8" spans="2:17" ht="16.5" customHeight="1" thickBot="1" x14ac:dyDescent="0.4">
      <c r="M8"/>
    </row>
    <row r="9" spans="2:17" s="95" customFormat="1" ht="47" thickBot="1" x14ac:dyDescent="0.4">
      <c r="B9" s="101" t="s">
        <v>3</v>
      </c>
      <c r="C9" s="102" t="s">
        <v>4</v>
      </c>
      <c r="D9" s="102" t="s">
        <v>5</v>
      </c>
      <c r="E9" s="102" t="s">
        <v>6</v>
      </c>
      <c r="F9" s="102" t="s">
        <v>7</v>
      </c>
      <c r="G9" s="102" t="s">
        <v>8</v>
      </c>
      <c r="H9" s="102" t="s">
        <v>135</v>
      </c>
      <c r="I9" s="102" t="s">
        <v>9</v>
      </c>
      <c r="J9" s="102" t="s">
        <v>10</v>
      </c>
      <c r="K9" s="102" t="s">
        <v>11</v>
      </c>
      <c r="L9" s="102" t="s">
        <v>12</v>
      </c>
      <c r="M9" s="99" t="s">
        <v>143</v>
      </c>
      <c r="N9" s="100" t="s">
        <v>146</v>
      </c>
      <c r="P9" s="96"/>
      <c r="Q9" s="96"/>
    </row>
    <row r="10" spans="2:17" ht="188.5" x14ac:dyDescent="0.35">
      <c r="B10" s="103" t="s">
        <v>13</v>
      </c>
      <c r="C10" s="104" t="s">
        <v>13</v>
      </c>
      <c r="D10" s="105" t="s">
        <v>14</v>
      </c>
      <c r="E10" s="7" t="s">
        <v>15</v>
      </c>
      <c r="F10" s="7" t="s">
        <v>16</v>
      </c>
      <c r="G10" s="7" t="s">
        <v>132</v>
      </c>
      <c r="H10" s="13">
        <v>3325</v>
      </c>
      <c r="I10" s="14">
        <f>PRODUCT(H10,$I$2)</f>
        <v>1310183</v>
      </c>
      <c r="J10" s="14" t="s">
        <v>148</v>
      </c>
      <c r="K10" s="50" t="e">
        <f t="shared" ref="K10:K17" si="0">(I10-J10)/J10</f>
        <v>#VALUE!</v>
      </c>
      <c r="L10" s="80" t="s">
        <v>133</v>
      </c>
      <c r="M10" s="106" t="s">
        <v>126</v>
      </c>
      <c r="N10" s="23" t="s">
        <v>126</v>
      </c>
    </row>
    <row r="11" spans="2:17" ht="409.5" x14ac:dyDescent="0.35">
      <c r="B11" s="54" t="s">
        <v>13</v>
      </c>
      <c r="C11" s="55" t="s">
        <v>13</v>
      </c>
      <c r="D11" s="71" t="s">
        <v>17</v>
      </c>
      <c r="E11" s="56" t="s">
        <v>18</v>
      </c>
      <c r="F11" s="56" t="s">
        <v>19</v>
      </c>
      <c r="G11" s="56" t="s">
        <v>20</v>
      </c>
      <c r="H11" s="57">
        <v>283.2</v>
      </c>
      <c r="I11" s="16">
        <f t="shared" ref="I11:I17" si="1">PRODUCT(H11,$I$2)</f>
        <v>111592.128</v>
      </c>
      <c r="J11" s="58">
        <v>111000</v>
      </c>
      <c r="K11" s="59">
        <f t="shared" si="0"/>
        <v>5.334486486486459E-3</v>
      </c>
      <c r="L11" s="60" t="s">
        <v>134</v>
      </c>
      <c r="M11" s="98" t="s">
        <v>125</v>
      </c>
      <c r="N11" s="24" t="s">
        <v>125</v>
      </c>
    </row>
    <row r="12" spans="2:17" ht="217.5" x14ac:dyDescent="0.35">
      <c r="B12" s="11" t="s">
        <v>13</v>
      </c>
      <c r="C12" s="48" t="s">
        <v>13</v>
      </c>
      <c r="D12" s="5" t="s">
        <v>127</v>
      </c>
      <c r="E12" s="5" t="s">
        <v>21</v>
      </c>
      <c r="F12" s="5" t="s">
        <v>19</v>
      </c>
      <c r="G12" s="5" t="s">
        <v>149</v>
      </c>
      <c r="H12" s="15">
        <f>28+91</f>
        <v>119</v>
      </c>
      <c r="I12" s="16">
        <f t="shared" si="1"/>
        <v>46890.76</v>
      </c>
      <c r="J12" s="16">
        <f xml:space="preserve"> 14103.0927835052 + 29969.0721649485</f>
        <v>44072.164948453697</v>
      </c>
      <c r="K12" s="49">
        <f t="shared" si="0"/>
        <v>6.3954086549705497E-2</v>
      </c>
      <c r="L12" s="47" t="s">
        <v>128</v>
      </c>
      <c r="M12" s="98" t="s">
        <v>124</v>
      </c>
      <c r="N12" s="24" t="s">
        <v>124</v>
      </c>
    </row>
    <row r="13" spans="2:17" ht="174.5" thickBot="1" x14ac:dyDescent="0.4">
      <c r="B13" s="114" t="s">
        <v>13</v>
      </c>
      <c r="C13" s="115" t="s">
        <v>13</v>
      </c>
      <c r="D13" s="3" t="s">
        <v>22</v>
      </c>
      <c r="E13" s="3" t="s">
        <v>23</v>
      </c>
      <c r="F13" s="3" t="s">
        <v>19</v>
      </c>
      <c r="G13" s="3" t="s">
        <v>24</v>
      </c>
      <c r="H13" s="26">
        <v>73.599999999999994</v>
      </c>
      <c r="I13" s="17">
        <f t="shared" si="1"/>
        <v>29001.344000000001</v>
      </c>
      <c r="J13" s="17">
        <f>91000/3</f>
        <v>30333.333333333332</v>
      </c>
      <c r="K13" s="51">
        <f t="shared" si="0"/>
        <v>-4.3911736263736192E-2</v>
      </c>
      <c r="L13" s="52" t="s">
        <v>131</v>
      </c>
      <c r="M13" s="107" t="s">
        <v>22</v>
      </c>
      <c r="N13" s="44" t="s">
        <v>22</v>
      </c>
    </row>
    <row r="14" spans="2:17" ht="189.65" customHeight="1" x14ac:dyDescent="0.35">
      <c r="B14" s="6" t="s">
        <v>25</v>
      </c>
      <c r="C14" s="40" t="s">
        <v>26</v>
      </c>
      <c r="D14" s="88" t="s">
        <v>27</v>
      </c>
      <c r="E14" s="7" t="s">
        <v>30</v>
      </c>
      <c r="F14" s="7" t="s">
        <v>54</v>
      </c>
      <c r="G14" s="112" t="s">
        <v>28</v>
      </c>
      <c r="H14" s="53">
        <v>8374</v>
      </c>
      <c r="I14" s="14">
        <f t="shared" si="1"/>
        <v>3299690.96</v>
      </c>
      <c r="J14" s="14">
        <v>3680645.78</v>
      </c>
      <c r="K14" s="50">
        <f t="shared" si="0"/>
        <v>-0.10350216857868889</v>
      </c>
      <c r="L14" s="112" t="s">
        <v>153</v>
      </c>
      <c r="M14" s="106" t="s">
        <v>140</v>
      </c>
      <c r="N14" s="23" t="s">
        <v>130</v>
      </c>
    </row>
    <row r="15" spans="2:17" ht="166.25" customHeight="1" x14ac:dyDescent="0.35">
      <c r="B15" s="4" t="s">
        <v>25</v>
      </c>
      <c r="C15" s="37" t="s">
        <v>26</v>
      </c>
      <c r="D15" s="56" t="s">
        <v>29</v>
      </c>
      <c r="E15" s="5" t="s">
        <v>30</v>
      </c>
      <c r="F15" s="5" t="s">
        <v>16</v>
      </c>
      <c r="G15" s="113"/>
      <c r="H15" s="27">
        <v>3023</v>
      </c>
      <c r="I15" s="16">
        <f t="shared" si="1"/>
        <v>1191182.9200000002</v>
      </c>
      <c r="J15" s="16">
        <v>1065605.92</v>
      </c>
      <c r="K15" s="49">
        <f t="shared" si="0"/>
        <v>0.11784562908584464</v>
      </c>
      <c r="L15" s="113"/>
      <c r="M15" s="98" t="s">
        <v>140</v>
      </c>
      <c r="N15" s="24" t="s">
        <v>130</v>
      </c>
      <c r="O15" s="22"/>
    </row>
    <row r="16" spans="2:17" ht="46.5" x14ac:dyDescent="0.35">
      <c r="B16" s="4" t="s">
        <v>25</v>
      </c>
      <c r="C16" s="37" t="s">
        <v>26</v>
      </c>
      <c r="D16" s="5" t="s">
        <v>138</v>
      </c>
      <c r="E16" s="5" t="s">
        <v>30</v>
      </c>
      <c r="F16" s="5" t="s">
        <v>54</v>
      </c>
      <c r="G16" s="47" t="s">
        <v>139</v>
      </c>
      <c r="H16" s="27">
        <f>SUM(H14:H15)</f>
        <v>11397</v>
      </c>
      <c r="I16" s="16">
        <f>SUM(I14:I15)</f>
        <v>4490873.88</v>
      </c>
      <c r="J16" s="16">
        <f>SUM(J14:J15)</f>
        <v>4746251.6999999993</v>
      </c>
      <c r="K16" s="49">
        <f t="shared" si="0"/>
        <v>-5.3806210909547722E-2</v>
      </c>
      <c r="L16" s="47" t="s">
        <v>139</v>
      </c>
      <c r="M16" s="98" t="s">
        <v>140</v>
      </c>
      <c r="N16" s="24" t="s">
        <v>130</v>
      </c>
      <c r="O16" s="22"/>
    </row>
    <row r="17" spans="2:14" ht="409.6" thickBot="1" x14ac:dyDescent="0.4">
      <c r="B17" s="8" t="s">
        <v>25</v>
      </c>
      <c r="C17" s="42" t="s">
        <v>31</v>
      </c>
      <c r="D17" s="89" t="s">
        <v>32</v>
      </c>
      <c r="E17" s="3" t="s">
        <v>33</v>
      </c>
      <c r="F17" s="3" t="s">
        <v>16</v>
      </c>
      <c r="G17" s="3" t="s">
        <v>34</v>
      </c>
      <c r="H17" s="18">
        <v>2160</v>
      </c>
      <c r="I17" s="17">
        <f t="shared" si="1"/>
        <v>851126.4</v>
      </c>
      <c r="J17" s="70">
        <v>888739.57300000009</v>
      </c>
      <c r="K17" s="51">
        <f t="shared" si="0"/>
        <v>-4.2321928878483801E-2</v>
      </c>
      <c r="L17" s="52" t="s">
        <v>152</v>
      </c>
      <c r="M17" s="107" t="s">
        <v>141</v>
      </c>
      <c r="N17" s="44" t="s">
        <v>129</v>
      </c>
    </row>
    <row r="18" spans="2:14" ht="15.5" x14ac:dyDescent="0.35">
      <c r="B18" s="9"/>
      <c r="C18" s="9"/>
    </row>
    <row r="19" spans="2:14" ht="15.5" x14ac:dyDescent="0.35">
      <c r="B19" s="10"/>
      <c r="C19" s="10"/>
    </row>
    <row r="22" spans="2:14" x14ac:dyDescent="0.35">
      <c r="I22" s="22"/>
    </row>
    <row r="23" spans="2:14" x14ac:dyDescent="0.35">
      <c r="I23" s="22"/>
    </row>
    <row r="24" spans="2:14" x14ac:dyDescent="0.35">
      <c r="I24" s="22"/>
    </row>
  </sheetData>
  <autoFilter ref="B9:N9" xr:uid="{00000000-0001-0000-0000-000000000000}"/>
  <mergeCells count="2">
    <mergeCell ref="G14:G15"/>
    <mergeCell ref="L14:L15"/>
  </mergeCells>
  <hyperlinks>
    <hyperlink ref="M10" r:id="rId1" display="../../../../../../../../../../:f:/r/sites/CIOCIOFY2026/Shared Documents/General/02. Workstreams/10. Transition/1. Commercial Transition Workstream/04. Baselining/Project Estimation/Calibration - TechM/OSS Projects/OSS TechM Estimates/Fixed GIS (IQGEO) Data Connector?csf=1&amp;web=1&amp;e=okCiNx" xr:uid="{16F480AD-CF67-4489-93E8-801C19CB0746}"/>
    <hyperlink ref="M11" r:id="rId2" display="../../../../../../../../../../:f:/r/sites/CIOCIOFY2026/Shared Documents/General/02. Workstreams/10. Transition/1. Commercial Transition Workstream/04. Baselining/Project Estimation/Calibration - TechM/OSS Projects/OSS TechM Estimates/Mobile Backhaul?csf=1&amp;web=1&amp;e=VI8ekX" xr:uid="{5D4BD4F0-63BE-4468-9698-5FB68D66270D}"/>
    <hyperlink ref="M12" r:id="rId3" display="../../../../../../../../../../:f:/r/sites/CIOCIOFY2026/Shared Documents/General/02. Workstreams/10. Transition/1. Commercial Transition Workstream/04. Baselining/Project Estimation/Calibration - TechM/OSS Projects/OSS TechM Estimates/Netcraft Projects?csf=1&amp;web=1&amp;e=Xc1WLR" xr:uid="{8AEC61F0-897F-4FD1-B65A-BDED1C5D03CF}"/>
    <hyperlink ref="M13" r:id="rId4" display="../../../../../../../../../../:f:/r/sites/CIOCIOFY2026/Shared Documents/General/02. Workstreams/10. Transition/1. Commercial Transition Workstream/04. Baselining/Project Estimation/Calibration - TechM/OSS Projects/OSS TechM Estimates/API Gateway?csf=1&amp;web=1&amp;e=7y6uvm" xr:uid="{67A3D5B7-185B-467C-8AAF-F02141A76A84}"/>
    <hyperlink ref="M14" r:id="rId5" display="../../../../../../../../../../:f:/r/sites/CIOCIOFY2026/Shared Documents/General/02. Workstreams/10. Transition/1. Commercial Transition Workstream/04. Baselining/Project Estimation/Calibration - TechM/Wholesale Projects/Wholesale TechM Estimates/Service Assurance Drops 1 and 2?csf=1&amp;web=1&amp;e=ZNI0wc" xr:uid="{57F6EA02-DD47-42A4-BA77-54D7582998C7}"/>
    <hyperlink ref="M15" r:id="rId6" display="../../../../../../../../../../:f:/r/sites/CIOCIOFY2026/Shared Documents/General/02. Workstreams/10. Transition/1. Commercial Transition Workstream/04. Baselining/Project Estimation/Calibration - TechM/Wholesale Projects/Wholesale TechM Estimates/Service Assurance Drops 1 and 2?csf=1&amp;web=1&amp;e=ZNI0wc" xr:uid="{CA609C52-7D46-425C-AA75-F1FFE4E0E8A3}"/>
    <hyperlink ref="M16" r:id="rId7" display="../../../../../../../../../../:f:/r/sites/CIOCIOFY2026/Shared Documents/General/02. Workstreams/10. Transition/1. Commercial Transition Workstream/04. Baselining/Project Estimation/Calibration - TechM/Wholesale Projects/Wholesale TechM Estimates/Service Assurance Drops 1 and 2?csf=1&amp;web=1&amp;e=ZNI0wc" xr:uid="{FFABB580-4F3A-48CD-816B-B05E95D0720A}"/>
    <hyperlink ref="M17" r:id="rId8" display="../../../../../../../../../../:f:/r/sites/CIOCIOFY2026/Shared Documents/General/02. Workstreams/10. Transition/1. Commercial Transition Workstream/04. Baselining/Project Estimation/Calibration - TechM/Wholesale Projects/Wholesale TechM Estimates/Wholesale Account %26 Reseller Mgmt Tranche 1?csf=1&amp;web=1&amp;e=Hvs350" xr:uid="{5AB97EED-DDF9-4CF1-9A45-8D86728172FE}"/>
    <hyperlink ref="N10" r:id="rId9" display="../../../../../../../../../../:f:/r/sites/CIOITTechTransformation-TechM-VMO2/Shared Documents/Tech M Commercial Workstream/Baselining/OSS Projects/TechM Finalised Estimates and HLIAs/Fixed GIS (IQGEO) Data Connector?csf=1&amp;web=1&amp;e=wG8e9y" xr:uid="{5F7E89AD-2DCE-46B5-B2BC-B1CB00B5571A}"/>
    <hyperlink ref="N11" r:id="rId10" display="../../../../../../../../../../:f:/r/sites/CIOITTechTransformation-TechM-VMO2/Shared Documents/Tech M Commercial Workstream/Baselining/OSS Projects/TechM Finalised Estimates and HLIAs/Mobile Backhaul?csf=1&amp;web=1&amp;e=E2nuCb" xr:uid="{2AA5C020-1CA0-4ABA-B524-43E76302661B}"/>
    <hyperlink ref="N12" r:id="rId11" display="../../../../../../../../../../:f:/r/sites/CIOITTechTransformation-TechM-VMO2/Shared Documents/Tech M Commercial Workstream/Baselining/OSS Projects/TechM Finalised Estimates and HLIAs/Netcraft Projects?csf=1&amp;web=1&amp;e=LMS1vY" xr:uid="{EAC6838B-4B2B-4366-97D7-5FEFE8053708}"/>
    <hyperlink ref="N13" r:id="rId12" display="../../../../../../../../../../:f:/r/sites/CIOITTechTransformation-TechM-VMO2/Shared Documents/Tech M Commercial Workstream/Baselining/OSS Projects/TechM Finalised Estimates and HLIAs/API Gateway?csf=1&amp;web=1&amp;e=5IYNE7" xr:uid="{96EC57FC-8628-4BC7-9379-1E5A55D0F876}"/>
    <hyperlink ref="N14" r:id="rId13" display="../../../../../../../../../../:f:/r/sites/CIOITTechTransformation-TechM-VMO2/Shared Documents/Tech M Commercial Workstream/Baselining/Wholesale Projects/TechM Finalised Estimates and HLIAs/Wholesale Service Assurance Drops 1 and 2?csf=1&amp;web=1&amp;e=bnb6n1" xr:uid="{57051E8A-4841-49D0-BA15-C71DD7ADE0C4}"/>
    <hyperlink ref="N15" r:id="rId14" display="../../../../../../../../../../:f:/r/sites/CIOITTechTransformation-TechM-VMO2/Shared Documents/Tech M Commercial Workstream/Baselining/Wholesale Projects/TechM Finalised Estimates and HLIAs/Wholesale Service Assurance Drops 1 and 2?csf=1&amp;web=1&amp;e=bnb6n1" xr:uid="{CC9DE654-E383-4E55-8E65-B9140B62FE4E}"/>
    <hyperlink ref="N16" r:id="rId15" display="../../../../../../../../../../:f:/r/sites/CIOITTechTransformation-TechM-VMO2/Shared Documents/Tech M Commercial Workstream/Baselining/Wholesale Projects/TechM Finalised Estimates and HLIAs/Wholesale Service Assurance Drops 1 and 2?csf=1&amp;web=1&amp;e=bnb6n1" xr:uid="{2D02EA67-CAF8-4688-B78F-34B20B59ACD2}"/>
    <hyperlink ref="N17" r:id="rId16" display="../../../../../../../../../../:f:/r/sites/CIOITTechTransformation-TechM-VMO2/Shared Documents/Tech M Commercial Workstream/Baselining/Wholesale Projects/TechM Finalised Estimates and HLIAs/Wholesale Account and Reseller Management Tranche 1?csf=1&amp;web=1&amp;e=P82Snf" xr:uid="{00F42EB2-43F2-49C4-A2AD-EB503D4BEDC2}"/>
  </hyperlinks>
  <pageMargins left="0.7" right="0.7" top="0.75" bottom="0.75" header="0.3" footer="0.3"/>
  <ignoredErrors>
    <ignoredError sqref="K13" evalError="1"/>
    <ignoredError sqref="I16" formula="1"/>
    <ignoredError sqref="H16" formulaRange="1"/>
  </ignoredErrors>
  <legacyDrawing r:id="rId1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D073B-298B-4E0F-B2AB-12779636DF4C}">
  <sheetPr>
    <tabColor theme="9" tint="0.79998168889431442"/>
  </sheetPr>
  <dimension ref="B1:Q38"/>
  <sheetViews>
    <sheetView showGridLines="0" zoomScale="80" zoomScaleNormal="80" workbookViewId="0">
      <selection activeCell="G7" sqref="G7"/>
    </sheetView>
  </sheetViews>
  <sheetFormatPr defaultRowHeight="14.5" x14ac:dyDescent="0.35"/>
  <cols>
    <col min="1" max="1" width="3.1796875" customWidth="1"/>
    <col min="2" max="2" width="12.81640625" customWidth="1"/>
    <col min="3" max="3" width="14.1796875" customWidth="1"/>
    <col min="4" max="4" width="32.1796875" customWidth="1"/>
    <col min="5" max="5" width="14.54296875" customWidth="1"/>
    <col min="6" max="6" width="12.453125" customWidth="1"/>
    <col min="7" max="7" width="67.90625" customWidth="1"/>
    <col min="8" max="8" width="16.81640625" customWidth="1"/>
    <col min="9" max="9" width="18.453125" customWidth="1"/>
    <col min="10" max="10" width="15.81640625" customWidth="1"/>
    <col min="11" max="11" width="15.1796875" customWidth="1"/>
    <col min="12" max="12" width="74.54296875" style="31" customWidth="1"/>
    <col min="13" max="13" width="57.1796875" style="97" customWidth="1"/>
    <col min="14" max="14" width="46.1796875" customWidth="1"/>
    <col min="15" max="15" width="17.1796875" customWidth="1"/>
  </cols>
  <sheetData>
    <row r="1" spans="2:17" x14ac:dyDescent="0.35">
      <c r="M1" s="31"/>
    </row>
    <row r="2" spans="2:17" ht="18.5" x14ac:dyDescent="0.45">
      <c r="B2" s="1" t="s">
        <v>35</v>
      </c>
      <c r="C2" s="1"/>
      <c r="H2" s="34" t="s">
        <v>36</v>
      </c>
      <c r="I2" s="111">
        <v>425.52</v>
      </c>
      <c r="M2" s="31"/>
    </row>
    <row r="3" spans="2:17" ht="18.5" x14ac:dyDescent="0.45">
      <c r="B3" s="1"/>
      <c r="C3" s="1"/>
      <c r="H3" s="61"/>
      <c r="I3" s="62"/>
      <c r="M3" s="31"/>
    </row>
    <row r="4" spans="2:17" ht="15.5" x14ac:dyDescent="0.35">
      <c r="B4" s="81" t="s">
        <v>136</v>
      </c>
      <c r="C4" s="82"/>
      <c r="D4" s="83"/>
      <c r="E4" s="83"/>
      <c r="F4" s="84"/>
      <c r="G4" s="85"/>
      <c r="M4" s="31"/>
    </row>
    <row r="5" spans="2:17" ht="16.5" customHeight="1" thickBot="1" x14ac:dyDescent="0.4">
      <c r="M5" s="31"/>
    </row>
    <row r="6" spans="2:17" s="95" customFormat="1" ht="31.5" thickBot="1" x14ac:dyDescent="0.4">
      <c r="B6" s="90" t="s">
        <v>3</v>
      </c>
      <c r="C6" s="91" t="s">
        <v>4</v>
      </c>
      <c r="D6" s="92" t="s">
        <v>5</v>
      </c>
      <c r="E6" s="92" t="s">
        <v>6</v>
      </c>
      <c r="F6" s="92" t="s">
        <v>7</v>
      </c>
      <c r="G6" s="92" t="s">
        <v>8</v>
      </c>
      <c r="H6" s="92" t="s">
        <v>150</v>
      </c>
      <c r="I6" s="92" t="s">
        <v>151</v>
      </c>
      <c r="J6" s="92" t="s">
        <v>10</v>
      </c>
      <c r="K6" s="93" t="s">
        <v>11</v>
      </c>
      <c r="L6" s="93" t="s">
        <v>37</v>
      </c>
      <c r="M6" s="93" t="s">
        <v>143</v>
      </c>
      <c r="N6" s="94" t="s">
        <v>146</v>
      </c>
      <c r="P6" s="96"/>
      <c r="Q6" s="96"/>
    </row>
    <row r="7" spans="2:17" ht="356.5" x14ac:dyDescent="0.35">
      <c r="B7" s="6" t="s">
        <v>38</v>
      </c>
      <c r="C7" s="40" t="s">
        <v>39</v>
      </c>
      <c r="D7" s="12" t="s">
        <v>40</v>
      </c>
      <c r="E7" s="7" t="s">
        <v>41</v>
      </c>
      <c r="F7" s="12" t="s">
        <v>16</v>
      </c>
      <c r="G7" s="12" t="s">
        <v>42</v>
      </c>
      <c r="H7" s="13">
        <v>1210.662048192771</v>
      </c>
      <c r="I7" s="14">
        <f>PRODUCT(H7,$I$2)</f>
        <v>515160.91474698787</v>
      </c>
      <c r="J7" s="14">
        <v>517970.4</v>
      </c>
      <c r="K7" s="29">
        <f t="shared" ref="K7:K33" si="0">(I7-J7)/J7</f>
        <v>-5.4240266490366189E-3</v>
      </c>
      <c r="L7" s="41" t="s">
        <v>43</v>
      </c>
      <c r="M7" s="106" t="s">
        <v>144</v>
      </c>
      <c r="N7" s="23" t="s">
        <v>118</v>
      </c>
    </row>
    <row r="8" spans="2:17" ht="87" x14ac:dyDescent="0.35">
      <c r="B8" s="4" t="s">
        <v>38</v>
      </c>
      <c r="C8" s="37" t="s">
        <v>39</v>
      </c>
      <c r="D8" s="38" t="s">
        <v>44</v>
      </c>
      <c r="E8" s="5" t="s">
        <v>41</v>
      </c>
      <c r="F8" s="38" t="s">
        <v>19</v>
      </c>
      <c r="G8" s="38" t="s">
        <v>45</v>
      </c>
      <c r="H8" s="19">
        <f>13512.96/450</f>
        <v>30.028799999999997</v>
      </c>
      <c r="I8" s="16">
        <f>PRODUCT(H8,$I$2)</f>
        <v>12777.854975999999</v>
      </c>
      <c r="J8" s="16">
        <v>13616.2</v>
      </c>
      <c r="K8" s="28">
        <f t="shared" si="0"/>
        <v>-6.1569676121091196E-2</v>
      </c>
      <c r="L8" s="39" t="s">
        <v>46</v>
      </c>
      <c r="M8" s="98" t="s">
        <v>144</v>
      </c>
      <c r="N8" s="24" t="s">
        <v>118</v>
      </c>
    </row>
    <row r="9" spans="2:17" ht="297.64999999999998" customHeight="1" x14ac:dyDescent="0.35">
      <c r="B9" s="4" t="s">
        <v>38</v>
      </c>
      <c r="C9" s="37" t="s">
        <v>39</v>
      </c>
      <c r="D9" s="5" t="s">
        <v>47</v>
      </c>
      <c r="E9" s="5" t="s">
        <v>41</v>
      </c>
      <c r="F9" s="5" t="s">
        <v>19</v>
      </c>
      <c r="G9" s="5" t="s">
        <v>48</v>
      </c>
      <c r="H9" s="19">
        <f>61411.93/450</f>
        <v>136.47095555555555</v>
      </c>
      <c r="I9" s="16">
        <f t="shared" ref="I9:I21" si="1">PRODUCT(H9,$I$2)</f>
        <v>58071.121007999995</v>
      </c>
      <c r="J9" s="16">
        <v>60675.11</v>
      </c>
      <c r="K9" s="28">
        <f t="shared" si="0"/>
        <v>-4.2916922474471098E-2</v>
      </c>
      <c r="L9" s="39" t="s">
        <v>49</v>
      </c>
      <c r="M9" s="98" t="s">
        <v>144</v>
      </c>
      <c r="N9" s="24" t="s">
        <v>118</v>
      </c>
    </row>
    <row r="10" spans="2:17" ht="331.75" customHeight="1" x14ac:dyDescent="0.35">
      <c r="B10" s="4" t="s">
        <v>38</v>
      </c>
      <c r="C10" s="37" t="s">
        <v>39</v>
      </c>
      <c r="D10" s="5" t="s">
        <v>50</v>
      </c>
      <c r="E10" s="5" t="s">
        <v>41</v>
      </c>
      <c r="F10" s="5" t="s">
        <v>19</v>
      </c>
      <c r="G10" s="5" t="s">
        <v>51</v>
      </c>
      <c r="H10" s="19">
        <f>77687.1/450</f>
        <v>172.63800000000001</v>
      </c>
      <c r="I10" s="16">
        <f t="shared" si="1"/>
        <v>73460.921759999997</v>
      </c>
      <c r="J10" s="16">
        <v>74418</v>
      </c>
      <c r="K10" s="28">
        <f t="shared" si="0"/>
        <v>-1.2860843344352207E-2</v>
      </c>
      <c r="L10" s="39" t="s">
        <v>52</v>
      </c>
      <c r="M10" s="98" t="s">
        <v>144</v>
      </c>
      <c r="N10" s="24" t="s">
        <v>118</v>
      </c>
    </row>
    <row r="11" spans="2:17" ht="319" x14ac:dyDescent="0.35">
      <c r="B11" s="4" t="s">
        <v>38</v>
      </c>
      <c r="C11" s="37" t="s">
        <v>39</v>
      </c>
      <c r="D11" s="5" t="s">
        <v>53</v>
      </c>
      <c r="E11" s="5" t="s">
        <v>41</v>
      </c>
      <c r="F11" s="5" t="s">
        <v>54</v>
      </c>
      <c r="G11" s="5" t="s">
        <v>55</v>
      </c>
      <c r="H11" s="19">
        <f>2111985.31/450</f>
        <v>4693.3006888888895</v>
      </c>
      <c r="I11" s="16">
        <f t="shared" si="1"/>
        <v>1997093.3091360002</v>
      </c>
      <c r="J11" s="16">
        <v>2041594.98</v>
      </c>
      <c r="K11" s="28">
        <f t="shared" si="0"/>
        <v>-2.1797502100049125E-2</v>
      </c>
      <c r="L11" s="39" t="s">
        <v>56</v>
      </c>
      <c r="M11" s="98" t="s">
        <v>144</v>
      </c>
      <c r="N11" s="24" t="s">
        <v>118</v>
      </c>
    </row>
    <row r="12" spans="2:17" ht="145" x14ac:dyDescent="0.35">
      <c r="B12" s="4" t="s">
        <v>38</v>
      </c>
      <c r="C12" s="37" t="s">
        <v>39</v>
      </c>
      <c r="D12" s="5" t="s">
        <v>57</v>
      </c>
      <c r="E12" s="5" t="s">
        <v>41</v>
      </c>
      <c r="F12" s="5" t="s">
        <v>19</v>
      </c>
      <c r="G12" s="5" t="s">
        <v>58</v>
      </c>
      <c r="H12" s="19">
        <f>250391.11/450</f>
        <v>556.42468888888891</v>
      </c>
      <c r="I12" s="16">
        <f t="shared" si="1"/>
        <v>236769.83361599999</v>
      </c>
      <c r="J12" s="16">
        <v>144872.88</v>
      </c>
      <c r="K12" s="28">
        <f t="shared" si="0"/>
        <v>0.6343282028768944</v>
      </c>
      <c r="L12" s="39" t="s">
        <v>119</v>
      </c>
      <c r="M12" s="98" t="s">
        <v>144</v>
      </c>
      <c r="N12" s="24" t="s">
        <v>118</v>
      </c>
    </row>
    <row r="13" spans="2:17" ht="145" x14ac:dyDescent="0.35">
      <c r="B13" s="4" t="s">
        <v>38</v>
      </c>
      <c r="C13" s="37" t="s">
        <v>39</v>
      </c>
      <c r="D13" s="5" t="s">
        <v>59</v>
      </c>
      <c r="E13" s="5" t="s">
        <v>41</v>
      </c>
      <c r="F13" s="5" t="s">
        <v>19</v>
      </c>
      <c r="G13" s="5" t="s">
        <v>60</v>
      </c>
      <c r="H13" s="19">
        <f>221429.22/450</f>
        <v>492.06493333333333</v>
      </c>
      <c r="I13" s="16">
        <f t="shared" si="1"/>
        <v>209383.470432</v>
      </c>
      <c r="J13" s="16">
        <v>122937.33</v>
      </c>
      <c r="K13" s="28">
        <f t="shared" si="0"/>
        <v>0.70317242477935704</v>
      </c>
      <c r="L13" s="39" t="s">
        <v>120</v>
      </c>
      <c r="M13" s="98" t="s">
        <v>144</v>
      </c>
      <c r="N13" s="24" t="s">
        <v>118</v>
      </c>
    </row>
    <row r="14" spans="2:17" ht="101.5" x14ac:dyDescent="0.35">
      <c r="B14" s="4" t="s">
        <v>38</v>
      </c>
      <c r="C14" s="37" t="s">
        <v>39</v>
      </c>
      <c r="D14" s="5" t="s">
        <v>61</v>
      </c>
      <c r="E14" s="5" t="s">
        <v>41</v>
      </c>
      <c r="F14" s="5" t="s">
        <v>19</v>
      </c>
      <c r="G14" s="5" t="s">
        <v>62</v>
      </c>
      <c r="H14" s="19">
        <f>91295.66/450</f>
        <v>202.87924444444445</v>
      </c>
      <c r="I14" s="16">
        <f t="shared" si="1"/>
        <v>86329.176095999996</v>
      </c>
      <c r="J14" s="16">
        <v>83774.33</v>
      </c>
      <c r="K14" s="28">
        <f t="shared" si="0"/>
        <v>3.0496765488903271E-2</v>
      </c>
      <c r="L14" s="39" t="s">
        <v>121</v>
      </c>
      <c r="M14" s="98" t="s">
        <v>144</v>
      </c>
      <c r="N14" s="24" t="s">
        <v>118</v>
      </c>
    </row>
    <row r="15" spans="2:17" ht="188.5" x14ac:dyDescent="0.35">
      <c r="B15" s="4" t="s">
        <v>38</v>
      </c>
      <c r="C15" s="37" t="s">
        <v>39</v>
      </c>
      <c r="D15" s="5" t="s">
        <v>63</v>
      </c>
      <c r="E15" s="5" t="s">
        <v>41</v>
      </c>
      <c r="F15" s="5" t="s">
        <v>19</v>
      </c>
      <c r="G15" s="5" t="s">
        <v>64</v>
      </c>
      <c r="H15" s="19">
        <f>88436.99/450</f>
        <v>196.52664444444446</v>
      </c>
      <c r="I15" s="16">
        <f t="shared" si="1"/>
        <v>83626.017743999997</v>
      </c>
      <c r="J15" s="16">
        <v>79053.11</v>
      </c>
      <c r="K15" s="28">
        <f t="shared" si="0"/>
        <v>5.7846019517764656E-2</v>
      </c>
      <c r="L15" s="39" t="s">
        <v>65</v>
      </c>
      <c r="M15" s="98" t="s">
        <v>144</v>
      </c>
      <c r="N15" s="24" t="s">
        <v>118</v>
      </c>
    </row>
    <row r="16" spans="2:17" ht="172.75" customHeight="1" x14ac:dyDescent="0.35">
      <c r="B16" s="4" t="s">
        <v>38</v>
      </c>
      <c r="C16" s="37" t="s">
        <v>39</v>
      </c>
      <c r="D16" s="5" t="s">
        <v>66</v>
      </c>
      <c r="E16" s="5" t="s">
        <v>41</v>
      </c>
      <c r="F16" s="5" t="s">
        <v>19</v>
      </c>
      <c r="G16" s="5" t="s">
        <v>67</v>
      </c>
      <c r="H16" s="19">
        <f>48146.76/450</f>
        <v>106.9928</v>
      </c>
      <c r="I16" s="16">
        <f t="shared" si="1"/>
        <v>45527.576256</v>
      </c>
      <c r="J16" s="16">
        <v>46470.99</v>
      </c>
      <c r="K16" s="28">
        <f t="shared" si="0"/>
        <v>-2.0301132900331965E-2</v>
      </c>
      <c r="L16" s="39" t="s">
        <v>68</v>
      </c>
      <c r="M16" s="98" t="s">
        <v>144</v>
      </c>
      <c r="N16" s="24" t="s">
        <v>118</v>
      </c>
    </row>
    <row r="17" spans="2:14" ht="288" customHeight="1" x14ac:dyDescent="0.35">
      <c r="B17" s="4" t="s">
        <v>38</v>
      </c>
      <c r="C17" s="37" t="s">
        <v>39</v>
      </c>
      <c r="D17" s="5" t="s">
        <v>69</v>
      </c>
      <c r="E17" s="5" t="s">
        <v>41</v>
      </c>
      <c r="F17" s="5" t="s">
        <v>19</v>
      </c>
      <c r="G17" s="5" t="s">
        <v>70</v>
      </c>
      <c r="H17" s="19">
        <f>50892.3/450</f>
        <v>113.09400000000001</v>
      </c>
      <c r="I17" s="16">
        <f t="shared" si="1"/>
        <v>48123.758880000001</v>
      </c>
      <c r="J17" s="16">
        <v>48837.98</v>
      </c>
      <c r="K17" s="28">
        <f t="shared" si="0"/>
        <v>-1.4624296909904995E-2</v>
      </c>
      <c r="L17" s="39" t="s">
        <v>71</v>
      </c>
      <c r="M17" s="98" t="s">
        <v>144</v>
      </c>
      <c r="N17" s="24" t="s">
        <v>118</v>
      </c>
    </row>
    <row r="18" spans="2:14" ht="159.5" x14ac:dyDescent="0.35">
      <c r="B18" s="4" t="s">
        <v>38</v>
      </c>
      <c r="C18" s="37" t="s">
        <v>39</v>
      </c>
      <c r="D18" s="5" t="s">
        <v>72</v>
      </c>
      <c r="E18" s="5" t="s">
        <v>41</v>
      </c>
      <c r="F18" s="5" t="s">
        <v>19</v>
      </c>
      <c r="G18" s="5" t="s">
        <v>73</v>
      </c>
      <c r="H18" s="19">
        <f>13621.64/450</f>
        <v>30.270311111111109</v>
      </c>
      <c r="I18" s="16">
        <f t="shared" si="1"/>
        <v>12880.622783999999</v>
      </c>
      <c r="J18" s="16">
        <v>13703.04</v>
      </c>
      <c r="K18" s="28">
        <f t="shared" si="0"/>
        <v>-6.0017136051562399E-2</v>
      </c>
      <c r="L18" s="39" t="s">
        <v>74</v>
      </c>
      <c r="M18" s="98" t="s">
        <v>144</v>
      </c>
      <c r="N18" s="24" t="s">
        <v>118</v>
      </c>
    </row>
    <row r="19" spans="2:14" ht="87" x14ac:dyDescent="0.35">
      <c r="B19" s="4" t="s">
        <v>38</v>
      </c>
      <c r="C19" s="37" t="s">
        <v>39</v>
      </c>
      <c r="D19" s="5" t="s">
        <v>75</v>
      </c>
      <c r="E19" s="5" t="s">
        <v>41</v>
      </c>
      <c r="F19" s="5" t="s">
        <v>19</v>
      </c>
      <c r="G19" s="5" t="s">
        <v>76</v>
      </c>
      <c r="H19" s="19">
        <f>10728.54/450</f>
        <v>23.841200000000001</v>
      </c>
      <c r="I19" s="16">
        <f t="shared" si="1"/>
        <v>10144.907423999999</v>
      </c>
      <c r="J19" s="16">
        <v>8455.2999999999993</v>
      </c>
      <c r="K19" s="28">
        <f t="shared" si="0"/>
        <v>0.1998282052677019</v>
      </c>
      <c r="L19" s="39" t="s">
        <v>122</v>
      </c>
      <c r="M19" s="98" t="s">
        <v>144</v>
      </c>
      <c r="N19" s="24" t="s">
        <v>118</v>
      </c>
    </row>
    <row r="20" spans="2:14" ht="232" x14ac:dyDescent="0.35">
      <c r="B20" s="4" t="s">
        <v>38</v>
      </c>
      <c r="C20" s="37" t="s">
        <v>39</v>
      </c>
      <c r="D20" s="5" t="s">
        <v>77</v>
      </c>
      <c r="E20" s="5" t="s">
        <v>41</v>
      </c>
      <c r="F20" s="5" t="s">
        <v>54</v>
      </c>
      <c r="G20" s="5" t="s">
        <v>78</v>
      </c>
      <c r="H20" s="19">
        <v>9792.8364999999994</v>
      </c>
      <c r="I20" s="16">
        <f t="shared" si="1"/>
        <v>4167047.7874799995</v>
      </c>
      <c r="J20" s="16">
        <v>3650000</v>
      </c>
      <c r="K20" s="36">
        <f t="shared" si="0"/>
        <v>0.14165692807671218</v>
      </c>
      <c r="L20" s="39" t="s">
        <v>123</v>
      </c>
      <c r="M20" s="98" t="s">
        <v>144</v>
      </c>
      <c r="N20" s="24" t="s">
        <v>118</v>
      </c>
    </row>
    <row r="21" spans="2:14" ht="409.6" thickBot="1" x14ac:dyDescent="0.4">
      <c r="B21" s="86" t="s">
        <v>38</v>
      </c>
      <c r="C21" s="87" t="s">
        <v>39</v>
      </c>
      <c r="D21" s="77" t="s">
        <v>79</v>
      </c>
      <c r="E21" s="77" t="s">
        <v>41</v>
      </c>
      <c r="F21" s="77" t="s">
        <v>54</v>
      </c>
      <c r="G21" s="77" t="s">
        <v>80</v>
      </c>
      <c r="H21" s="116">
        <v>9504</v>
      </c>
      <c r="I21" s="78">
        <f t="shared" si="1"/>
        <v>4044142.0799999996</v>
      </c>
      <c r="J21" s="78">
        <v>3704930</v>
      </c>
      <c r="K21" s="109">
        <f t="shared" si="0"/>
        <v>9.1556947094816807E-2</v>
      </c>
      <c r="L21" s="110" t="s">
        <v>81</v>
      </c>
      <c r="M21" s="108" t="s">
        <v>144</v>
      </c>
      <c r="N21" s="72" t="s">
        <v>118</v>
      </c>
    </row>
    <row r="22" spans="2:14" ht="261" x14ac:dyDescent="0.35">
      <c r="B22" s="6" t="s">
        <v>82</v>
      </c>
      <c r="C22" s="40" t="s">
        <v>83</v>
      </c>
      <c r="D22" s="7" t="s">
        <v>84</v>
      </c>
      <c r="E22" s="7" t="s">
        <v>85</v>
      </c>
      <c r="F22" s="7" t="s">
        <v>54</v>
      </c>
      <c r="G22" s="7" t="s">
        <v>86</v>
      </c>
      <c r="H22" s="117">
        <v>3018.75</v>
      </c>
      <c r="I22" s="74">
        <f>PRODUCT(H22,$I$2)</f>
        <v>1284538.5</v>
      </c>
      <c r="J22" s="74">
        <f>(1900000 - 300000)*86%</f>
        <v>1376000</v>
      </c>
      <c r="K22" s="29">
        <f t="shared" si="0"/>
        <v>-6.6469113372093019E-2</v>
      </c>
      <c r="L22" s="75" t="s">
        <v>112</v>
      </c>
      <c r="M22" s="106" t="s">
        <v>145</v>
      </c>
      <c r="N22" s="23" t="s">
        <v>118</v>
      </c>
    </row>
    <row r="23" spans="2:14" ht="362.5" x14ac:dyDescent="0.35">
      <c r="B23" s="4" t="s">
        <v>82</v>
      </c>
      <c r="C23" s="37" t="s">
        <v>83</v>
      </c>
      <c r="D23" s="5" t="s">
        <v>87</v>
      </c>
      <c r="E23" s="5" t="s">
        <v>85</v>
      </c>
      <c r="F23" s="5" t="s">
        <v>16</v>
      </c>
      <c r="G23" s="5" t="s">
        <v>88</v>
      </c>
      <c r="H23" s="79">
        <v>4162.8599999999997</v>
      </c>
      <c r="I23" s="21">
        <f t="shared" ref="I23:I27" si="2">PRODUCT(H23,$I$2)</f>
        <v>1771380.1871999998</v>
      </c>
      <c r="J23" s="21">
        <f>(2400000 - 180000)*86%</f>
        <v>1909200</v>
      </c>
      <c r="K23" s="36">
        <f t="shared" si="0"/>
        <v>-7.2187205531112603E-2</v>
      </c>
      <c r="L23" s="33" t="s">
        <v>113</v>
      </c>
      <c r="M23" s="98" t="s">
        <v>145</v>
      </c>
      <c r="N23" s="24" t="s">
        <v>118</v>
      </c>
    </row>
    <row r="24" spans="2:14" ht="275.5" x14ac:dyDescent="0.35">
      <c r="B24" s="4" t="s">
        <v>82</v>
      </c>
      <c r="C24" s="37" t="s">
        <v>83</v>
      </c>
      <c r="D24" s="5" t="s">
        <v>89</v>
      </c>
      <c r="E24" s="5" t="s">
        <v>85</v>
      </c>
      <c r="F24" s="5" t="s">
        <v>16</v>
      </c>
      <c r="G24" s="5" t="s">
        <v>90</v>
      </c>
      <c r="H24" s="20">
        <v>3253</v>
      </c>
      <c r="I24" s="21">
        <f t="shared" si="2"/>
        <v>1384216.56</v>
      </c>
      <c r="J24" s="21">
        <f>1912000*86%</f>
        <v>1644320</v>
      </c>
      <c r="K24" s="28">
        <f t="shared" si="0"/>
        <v>-0.15818298141480974</v>
      </c>
      <c r="L24" s="33" t="s">
        <v>114</v>
      </c>
      <c r="M24" s="98" t="s">
        <v>145</v>
      </c>
      <c r="N24" s="24" t="s">
        <v>118</v>
      </c>
    </row>
    <row r="25" spans="2:14" ht="409.5" x14ac:dyDescent="0.35">
      <c r="B25" s="4" t="s">
        <v>82</v>
      </c>
      <c r="C25" s="37" t="s">
        <v>83</v>
      </c>
      <c r="D25" s="5" t="s">
        <v>91</v>
      </c>
      <c r="E25" s="5" t="s">
        <v>85</v>
      </c>
      <c r="F25" s="5" t="s">
        <v>16</v>
      </c>
      <c r="G25" s="5" t="s">
        <v>92</v>
      </c>
      <c r="H25" s="20">
        <v>1836</v>
      </c>
      <c r="I25" s="21">
        <f t="shared" si="2"/>
        <v>781254.72</v>
      </c>
      <c r="J25" s="16">
        <f>(1292065.77 - 180000)*86%</f>
        <v>956376.56220000004</v>
      </c>
      <c r="K25" s="28">
        <f t="shared" si="0"/>
        <v>-0.18310971757521816</v>
      </c>
      <c r="L25" s="39" t="s">
        <v>115</v>
      </c>
      <c r="M25" s="98" t="s">
        <v>145</v>
      </c>
      <c r="N25" s="24" t="s">
        <v>118</v>
      </c>
    </row>
    <row r="26" spans="2:14" ht="406" x14ac:dyDescent="0.35">
      <c r="B26" s="4" t="s">
        <v>82</v>
      </c>
      <c r="C26" s="37" t="s">
        <v>83</v>
      </c>
      <c r="D26" s="5" t="s">
        <v>93</v>
      </c>
      <c r="E26" s="5" t="s">
        <v>85</v>
      </c>
      <c r="F26" s="5" t="s">
        <v>16</v>
      </c>
      <c r="G26" s="5" t="s">
        <v>94</v>
      </c>
      <c r="H26" s="20">
        <v>1462</v>
      </c>
      <c r="I26" s="21">
        <f t="shared" si="2"/>
        <v>622110.24</v>
      </c>
      <c r="J26" s="21">
        <f>667000*86%</f>
        <v>573620</v>
      </c>
      <c r="K26" s="28">
        <f t="shared" si="0"/>
        <v>8.4533733133433264E-2</v>
      </c>
      <c r="L26" s="33" t="s">
        <v>116</v>
      </c>
      <c r="M26" s="98" t="s">
        <v>145</v>
      </c>
      <c r="N26" s="24" t="s">
        <v>118</v>
      </c>
    </row>
    <row r="27" spans="2:14" ht="348" x14ac:dyDescent="0.35">
      <c r="B27" s="4" t="s">
        <v>82</v>
      </c>
      <c r="C27" s="37" t="s">
        <v>83</v>
      </c>
      <c r="D27" s="5" t="s">
        <v>95</v>
      </c>
      <c r="E27" s="5" t="s">
        <v>85</v>
      </c>
      <c r="F27" s="5" t="s">
        <v>96</v>
      </c>
      <c r="G27" s="5" t="s">
        <v>97</v>
      </c>
      <c r="H27" s="30">
        <v>16192.5</v>
      </c>
      <c r="I27" s="21">
        <f t="shared" si="2"/>
        <v>6890232.5999999996</v>
      </c>
      <c r="J27" s="16">
        <f>(13093872.88 - 5000000)*86%</f>
        <v>6960730.6768000005</v>
      </c>
      <c r="K27" s="28">
        <f t="shared" si="0"/>
        <v>-1.0127970765334992E-2</v>
      </c>
      <c r="L27" s="33" t="s">
        <v>117</v>
      </c>
      <c r="M27" s="98" t="s">
        <v>145</v>
      </c>
      <c r="N27" s="24" t="s">
        <v>118</v>
      </c>
    </row>
    <row r="28" spans="2:14" ht="372.65" customHeight="1" x14ac:dyDescent="0.35">
      <c r="B28" s="4" t="s">
        <v>82</v>
      </c>
      <c r="C28" s="37" t="s">
        <v>83</v>
      </c>
      <c r="D28" s="5" t="s">
        <v>98</v>
      </c>
      <c r="E28" s="5" t="s">
        <v>85</v>
      </c>
      <c r="F28" s="5" t="s">
        <v>96</v>
      </c>
      <c r="G28" s="5" t="s">
        <v>99</v>
      </c>
      <c r="H28" s="19">
        <v>11924</v>
      </c>
      <c r="I28" s="21">
        <f t="shared" ref="I28" si="3">PRODUCT(H28,$I$2)</f>
        <v>5073900.4799999995</v>
      </c>
      <c r="J28" s="16">
        <f>(9843924.32 - 2400000 - 1322000) *86%</f>
        <v>5264854.9152000006</v>
      </c>
      <c r="K28" s="36">
        <f t="shared" si="0"/>
        <v>-3.6269648124339082E-2</v>
      </c>
      <c r="L28" s="33" t="s">
        <v>142</v>
      </c>
      <c r="M28" s="98" t="s">
        <v>145</v>
      </c>
      <c r="N28" s="24" t="s">
        <v>118</v>
      </c>
    </row>
    <row r="29" spans="2:14" ht="43.5" x14ac:dyDescent="0.35">
      <c r="B29" s="4" t="s">
        <v>82</v>
      </c>
      <c r="C29" s="37" t="s">
        <v>83</v>
      </c>
      <c r="D29" s="5" t="s">
        <v>100</v>
      </c>
      <c r="E29" s="5" t="s">
        <v>101</v>
      </c>
      <c r="F29" s="5" t="s">
        <v>19</v>
      </c>
      <c r="G29" s="5" t="s">
        <v>102</v>
      </c>
      <c r="H29" s="15">
        <v>6</v>
      </c>
      <c r="I29" s="21">
        <f>PRODUCT(H29,$I$2)</f>
        <v>2553.12</v>
      </c>
      <c r="J29" s="21">
        <v>2500</v>
      </c>
      <c r="K29" s="28">
        <f t="shared" si="0"/>
        <v>2.1247999999999958E-2</v>
      </c>
      <c r="L29" s="32"/>
      <c r="M29" s="98" t="s">
        <v>145</v>
      </c>
      <c r="N29" s="24" t="s">
        <v>118</v>
      </c>
    </row>
    <row r="30" spans="2:14" ht="87" x14ac:dyDescent="0.35">
      <c r="B30" s="4" t="s">
        <v>82</v>
      </c>
      <c r="C30" s="37" t="s">
        <v>83</v>
      </c>
      <c r="D30" s="5" t="s">
        <v>103</v>
      </c>
      <c r="E30" s="5" t="s">
        <v>101</v>
      </c>
      <c r="F30" s="5" t="s">
        <v>19</v>
      </c>
      <c r="G30" s="5" t="s">
        <v>104</v>
      </c>
      <c r="H30" s="15">
        <v>18</v>
      </c>
      <c r="I30" s="21">
        <f t="shared" ref="I30:I33" si="4">PRODUCT(H30,$I$2)</f>
        <v>7659.36</v>
      </c>
      <c r="J30" s="21">
        <v>9000</v>
      </c>
      <c r="K30" s="28">
        <f t="shared" si="0"/>
        <v>-0.14896000000000004</v>
      </c>
      <c r="L30" s="32" t="s">
        <v>105</v>
      </c>
      <c r="M30" s="98" t="s">
        <v>145</v>
      </c>
      <c r="N30" s="24" t="s">
        <v>118</v>
      </c>
    </row>
    <row r="31" spans="2:14" ht="15.5" x14ac:dyDescent="0.35">
      <c r="B31" s="4" t="s">
        <v>82</v>
      </c>
      <c r="C31" s="37" t="s">
        <v>83</v>
      </c>
      <c r="D31" s="5" t="s">
        <v>106</v>
      </c>
      <c r="E31" s="5" t="s">
        <v>101</v>
      </c>
      <c r="F31" s="5" t="s">
        <v>19</v>
      </c>
      <c r="G31" s="5" t="s">
        <v>107</v>
      </c>
      <c r="H31" s="15">
        <v>19</v>
      </c>
      <c r="I31" s="21">
        <f t="shared" si="4"/>
        <v>8084.8799999999992</v>
      </c>
      <c r="J31" s="21">
        <v>9000</v>
      </c>
      <c r="K31" s="28">
        <f t="shared" si="0"/>
        <v>-0.10168000000000009</v>
      </c>
      <c r="L31" s="32"/>
      <c r="M31" s="98" t="s">
        <v>145</v>
      </c>
      <c r="N31" s="24" t="s">
        <v>118</v>
      </c>
    </row>
    <row r="32" spans="2:14" ht="29" x14ac:dyDescent="0.35">
      <c r="B32" s="4" t="s">
        <v>82</v>
      </c>
      <c r="C32" s="37" t="s">
        <v>83</v>
      </c>
      <c r="D32" s="5" t="s">
        <v>108</v>
      </c>
      <c r="E32" s="5" t="s">
        <v>101</v>
      </c>
      <c r="F32" s="5" t="s">
        <v>19</v>
      </c>
      <c r="G32" s="5" t="s">
        <v>109</v>
      </c>
      <c r="H32" s="15">
        <v>15</v>
      </c>
      <c r="I32" s="21">
        <f t="shared" si="4"/>
        <v>6382.7999999999993</v>
      </c>
      <c r="J32" s="21">
        <v>8000</v>
      </c>
      <c r="K32" s="28">
        <f t="shared" si="0"/>
        <v>-0.20215000000000008</v>
      </c>
      <c r="L32" s="32"/>
      <c r="M32" s="98" t="s">
        <v>145</v>
      </c>
      <c r="N32" s="24" t="s">
        <v>118</v>
      </c>
    </row>
    <row r="33" spans="2:14" ht="16" thickBot="1" x14ac:dyDescent="0.4">
      <c r="B33" s="8" t="s">
        <v>82</v>
      </c>
      <c r="C33" s="42" t="s">
        <v>83</v>
      </c>
      <c r="D33" s="3" t="s">
        <v>110</v>
      </c>
      <c r="E33" s="3" t="s">
        <v>101</v>
      </c>
      <c r="F33" s="3" t="s">
        <v>19</v>
      </c>
      <c r="G33" s="3" t="s">
        <v>111</v>
      </c>
      <c r="H33" s="26">
        <v>22</v>
      </c>
      <c r="I33" s="45">
        <f t="shared" si="4"/>
        <v>9361.4399999999987</v>
      </c>
      <c r="J33" s="45">
        <v>12000</v>
      </c>
      <c r="K33" s="43">
        <f t="shared" si="0"/>
        <v>-0.2198800000000001</v>
      </c>
      <c r="L33" s="46"/>
      <c r="M33" s="107" t="s">
        <v>145</v>
      </c>
      <c r="N33" s="44" t="s">
        <v>118</v>
      </c>
    </row>
    <row r="34" spans="2:14" ht="15.5" x14ac:dyDescent="0.35">
      <c r="B34" s="9"/>
      <c r="C34" s="9"/>
    </row>
    <row r="35" spans="2:14" ht="15.5" x14ac:dyDescent="0.35">
      <c r="B35" s="10"/>
      <c r="C35" s="10"/>
      <c r="H35" s="22"/>
    </row>
    <row r="36" spans="2:14" x14ac:dyDescent="0.35">
      <c r="H36" s="25"/>
    </row>
    <row r="38" spans="2:14" x14ac:dyDescent="0.35">
      <c r="H38" s="25"/>
    </row>
  </sheetData>
  <autoFilter ref="B6:N33" xr:uid="{4ACD073B-298B-4E0F-B2AB-12779636DF4C}"/>
  <dataValidations count="1">
    <dataValidation type="list" allowBlank="1" showInputMessage="1" showErrorMessage="1" sqref="F7:F1048576" xr:uid="{5C35CDAE-7327-42F8-84DC-A8C7DE5D84BA}">
      <formula1>"Small, Medium, Large, Extra Large"</formula1>
    </dataValidation>
  </dataValidations>
  <hyperlinks>
    <hyperlink ref="N22" r:id="rId1" display="../../../../../../../../../../:f:/r/sites/CIOITTechTransformation-TCS-VMO2/Shared Documents/TCS Commercial Workstream/Baselining/Consumer Projects/Consumer - DFE/TCS Finalised Estimates?csf=1&amp;web=1&amp;e=LpssGf" xr:uid="{D386F68A-98BA-4F76-861F-A90F9F98D62F}"/>
    <hyperlink ref="N23:N33" r:id="rId2" display="../../../../../../../../../../:f:/r/sites/CIOITTechTransformation-TCS-VMO2/Shared Documents/TCS Commercial Workstream/Baselining/Consumer Projects/Consumer - DFE/TCS Finalised Estimates?csf=1&amp;web=1&amp;e=LpssGf" xr:uid="{06540AF6-0938-4EE3-9442-C86DD7CB45ED}"/>
    <hyperlink ref="N7" r:id="rId3" display="../../../../../../../../../../:f:/r/sites/CIOITTechTransformation-TCS-VMO2/Shared Documents/TCS Commercial Workstream/Baselining/Data Projects/TCS Finalised Estimates?csf=1&amp;web=1&amp;e=QO2OTL" xr:uid="{0D6FC259-580C-4F38-945D-29A7BC810419}"/>
    <hyperlink ref="N8:N21" r:id="rId4" display="../../../../../../../../../../:f:/r/sites/CIOITTechTransformation-TCS-VMO2/Shared Documents/TCS Commercial Workstream/Baselining/Data Projects/TCS Finalised Estimates?csf=1&amp;web=1&amp;e=QO2OTL" xr:uid="{68301FBC-9085-4B14-B03F-1A09EAEFFD10}"/>
    <hyperlink ref="M7" r:id="rId5" display="../../../../../../../../../../:f:/r/sites/CIOCIOFY2026/Shared Documents/General/02. Workstreams/10. Transition/1. Commercial Transition Workstream/04. Baselining/Project Estimation/Calibration - TCS/Data Projects/2. Data TCS Estimates?csf=1&amp;web=1&amp;e=hC61Li" xr:uid="{91E4AD95-C5EB-4D9F-A728-6B88A765C1CB}"/>
    <hyperlink ref="M8:M21" r:id="rId6" display="../../../../../../../../../../:f:/r/sites/CIOCIOFY2026/Shared Documents/General/02. Workstreams/10. Transition/1. Commercial Transition Workstream/04. Baselining/Project Estimation/Calibration - TCS/Data Projects/2. Data TCS Estimates?csf=1&amp;web=1&amp;e=hC61Li" xr:uid="{4BAE422D-5C11-4EA1-A254-5DFAB280A734}"/>
    <hyperlink ref="M22" r:id="rId7" display="../../../../../../../../../../:f:/r/sites/CIOCIOFY2026/Shared Documents/General/02. Workstreams/10. Transition/1. Commercial Transition Workstream/04. Baselining/Project Estimation/Calibration - TCS/Consumer DFE projects/Consumer DFE TCS Estimates?csf=1&amp;web=1&amp;e=A8SLmA" xr:uid="{AD6C8838-5074-43A0-B462-9857559D7BDF}"/>
    <hyperlink ref="M23:M33" r:id="rId8" display="../../../../../../../../../../:f:/r/sites/CIOCIOFY2026/Shared Documents/General/02. Workstreams/10. Transition/1. Commercial Transition Workstream/04. Baselining/Project Estimation/Calibration - TCS/Consumer DFE projects/Consumer DFE TCS Estimates?csf=1&amp;web=1&amp;e=A8SLmA" xr:uid="{8EF5AF56-00B4-42FB-9E55-1240C5FFA6C9}"/>
  </hyperlinks>
  <pageMargins left="0.7" right="0.7" top="0.75" bottom="0.75" header="0.3" footer="0.3"/>
  <legacy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9BB7CAAD8E745992546C047112AD8" ma:contentTypeVersion="13" ma:contentTypeDescription="Create a new document." ma:contentTypeScope="" ma:versionID="024a931bbc7a0831f285685c3c565be7">
  <xsd:schema xmlns:xsd="http://www.w3.org/2001/XMLSchema" xmlns:xs="http://www.w3.org/2001/XMLSchema" xmlns:p="http://schemas.microsoft.com/office/2006/metadata/properties" xmlns:ns2="0e5fc586-5b19-4fe9-a9b3-bd3a89cb8e85" xmlns:ns3="11e220c4-c907-4824-95b7-a0cee4beb15d" targetNamespace="http://schemas.microsoft.com/office/2006/metadata/properties" ma:root="true" ma:fieldsID="390d32e3437e51b362d88c5ac5751cdf" ns2:_="" ns3:_="">
    <xsd:import namespace="0e5fc586-5b19-4fe9-a9b3-bd3a89cb8e85"/>
    <xsd:import namespace="11e220c4-c907-4824-95b7-a0cee4beb1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OrigCreated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5fc586-5b19-4fe9-a9b3-bd3a89cb8e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3e50966-3b8a-4923-a606-5fdc3ce40cd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OrigCreatedDate" ma:index="20" nillable="true" ma:displayName="Orig Created Date" ma:format="DateOnly" ma:internalName="OrigCreated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1e220c4-c907-4824-95b7-a0cee4beb15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17b863d-1e3f-46e8-81b1-405b7d115935}" ma:internalName="TaxCatchAll" ma:showField="CatchAllData" ma:web="11e220c4-c907-4824-95b7-a0cee4beb1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rigCreatedDate xmlns="0e5fc586-5b19-4fe9-a9b3-bd3a89cb8e85" xsi:nil="true"/>
    <TaxCatchAll xmlns="11e220c4-c907-4824-95b7-a0cee4beb15d" xsi:nil="true"/>
    <lcf76f155ced4ddcb4097134ff3c332f xmlns="0e5fc586-5b19-4fe9-a9b3-bd3a89cb8e8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82D908-C599-4DA5-9928-2B992E2622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5fc586-5b19-4fe9-a9b3-bd3a89cb8e85"/>
    <ds:schemaRef ds:uri="11e220c4-c907-4824-95b7-a0cee4beb1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04CA6C-2132-4D15-A06F-8269ABEE5833}">
  <ds:schemaRefs>
    <ds:schemaRef ds:uri="http://schemas.microsoft.com/sharepoint/v3/contenttype/forms"/>
  </ds:schemaRefs>
</ds:datastoreItem>
</file>

<file path=customXml/itemProps3.xml><?xml version="1.0" encoding="utf-8"?>
<ds:datastoreItem xmlns:ds="http://schemas.openxmlformats.org/officeDocument/2006/customXml" ds:itemID="{2FD88477-FA2D-4D6E-9F19-F777268E8F86}">
  <ds:schemaRefs>
    <ds:schemaRef ds:uri="http://purl.org/dc/elements/1.1/"/>
    <ds:schemaRef ds:uri="http://purl.org/dc/terms/"/>
    <ds:schemaRef ds:uri="http://schemas.openxmlformats.org/package/2006/metadata/core-properties"/>
    <ds:schemaRef ds:uri="http://www.w3.org/XML/1998/namespace"/>
    <ds:schemaRef ds:uri="http://purl.org/dc/dcmitype/"/>
    <ds:schemaRef ds:uri="http://schemas.microsoft.com/office/2006/documentManagement/types"/>
    <ds:schemaRef ds:uri="0e5fc586-5b19-4fe9-a9b3-bd3a89cb8e85"/>
    <ds:schemaRef ds:uri="http://schemas.microsoft.com/office/infopath/2007/PartnerControls"/>
    <ds:schemaRef ds:uri="11e220c4-c907-4824-95b7-a0cee4beb15d"/>
    <ds:schemaRef ds:uri="http://schemas.microsoft.com/office/2006/metadata/properties"/>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Wall of Reference - TechM</vt:lpstr>
      <vt:lpstr>Wall of Reference - TCS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Cotta Carvalho, Chantal</cp:lastModifiedBy>
  <cp:revision/>
  <dcterms:created xsi:type="dcterms:W3CDTF">2026-05-01T11:06:07Z</dcterms:created>
  <dcterms:modified xsi:type="dcterms:W3CDTF">2026-06-24T08:53:05Z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0x0101003D19BB7CAAD8E745992546C047112AD8</vt:lpwstr>
  </property>
  <property fmtid="{D5CDD505-2E9C-101B-9397-08002B2CF9AE}" pid="3" name="MediaServiceImageTags">
    <vt:lpwstr/>
  </property>
</Properties>
</file>